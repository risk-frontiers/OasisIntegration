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hiry\Devs\ComplexModelMDK\tests\"/>
    </mc:Choice>
  </mc:AlternateContent>
  <xr:revisionPtr revIDLastSave="0" documentId="13_ncr:1_{A9E26EE7-9103-4364-BDD6-53D51E51CBB0}" xr6:coauthVersionLast="45" xr6:coauthVersionMax="45" xr10:uidLastSave="{00000000-0000-0000-0000-000000000000}"/>
  <bookViews>
    <workbookView xWindow="-10005" yWindow="-21720" windowWidth="38640" windowHeight="21240" activeTab="2" xr2:uid="{A331FE87-D54F-41DA-8DE0-E86A720C5D7D}"/>
  </bookViews>
  <sheets>
    <sheet name="Tests Plan" sheetId="1" r:id="rId1"/>
    <sheet name="account_small" sheetId="4" r:id="rId2"/>
    <sheet name="location_small" sheetId="5" r:id="rId3"/>
  </sheets>
  <definedNames>
    <definedName name="_xlnm._FilterDatabase" localSheetId="2" hidden="1">location_small!$A$1:$AA$434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434" i="5" l="1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51" i="5"/>
  <c r="AA52" i="5"/>
  <c r="AA53" i="5"/>
  <c r="AA54" i="5"/>
  <c r="AA55" i="5"/>
  <c r="AA264" i="5"/>
  <c r="AA265" i="5"/>
  <c r="AA266" i="5"/>
  <c r="AA267" i="5"/>
  <c r="AA268" i="5"/>
  <c r="AA269" i="5"/>
  <c r="AA270" i="5"/>
  <c r="AA271" i="5"/>
  <c r="AA272" i="5"/>
  <c r="AA273" i="5"/>
  <c r="AA274" i="5"/>
  <c r="AA275" i="5"/>
  <c r="AA276" i="5"/>
  <c r="AA277" i="5"/>
  <c r="AA278" i="5"/>
  <c r="AA279" i="5"/>
  <c r="AA280" i="5"/>
  <c r="AA281" i="5"/>
  <c r="AA282" i="5"/>
  <c r="AA283" i="5"/>
  <c r="AA284" i="5"/>
  <c r="AA285" i="5"/>
  <c r="AA286" i="5"/>
  <c r="AA287" i="5"/>
  <c r="AA288" i="5"/>
  <c r="AA289" i="5"/>
  <c r="AA290" i="5"/>
  <c r="AA291" i="5"/>
  <c r="AA292" i="5"/>
  <c r="AA293" i="5"/>
  <c r="AA294" i="5"/>
  <c r="AA295" i="5"/>
  <c r="AA296" i="5"/>
  <c r="AA297" i="5"/>
  <c r="AA298" i="5"/>
  <c r="AA299" i="5"/>
  <c r="AA300" i="5"/>
  <c r="AA301" i="5"/>
  <c r="AA302" i="5"/>
  <c r="AA303" i="5"/>
  <c r="AA304" i="5"/>
  <c r="AA305" i="5"/>
  <c r="AA306" i="5"/>
  <c r="AA307" i="5"/>
  <c r="AA308" i="5"/>
  <c r="AA309" i="5"/>
  <c r="AA310" i="5"/>
  <c r="AA311" i="5"/>
  <c r="AA312" i="5"/>
  <c r="AA313" i="5"/>
  <c r="AA314" i="5"/>
  <c r="AA315" i="5"/>
  <c r="AA316" i="5"/>
  <c r="AA327" i="5"/>
  <c r="AA359" i="5"/>
  <c r="AA391" i="5"/>
  <c r="AA417" i="5"/>
  <c r="AA418" i="5"/>
  <c r="AA420" i="5"/>
  <c r="AA422" i="5"/>
  <c r="AA423" i="5"/>
  <c r="Z427" i="5"/>
  <c r="AA427" i="5" s="1"/>
  <c r="Z428" i="5"/>
  <c r="AA428" i="5" s="1"/>
  <c r="Z429" i="5"/>
  <c r="AA429" i="5" s="1"/>
  <c r="Z430" i="5"/>
  <c r="AA430" i="5" s="1"/>
  <c r="Z431" i="5"/>
  <c r="AA431" i="5" s="1"/>
  <c r="Z432" i="5"/>
  <c r="AA432" i="5" s="1"/>
  <c r="Z433" i="5"/>
  <c r="AA433" i="5" s="1"/>
  <c r="Z434" i="5"/>
  <c r="Z2" i="5"/>
  <c r="Z3" i="5"/>
  <c r="AA3" i="5" s="1"/>
  <c r="Z4" i="5"/>
  <c r="AA4" i="5" s="1"/>
  <c r="Z5" i="5"/>
  <c r="AA5" i="5" s="1"/>
  <c r="Z6" i="5"/>
  <c r="AA6" i="5" s="1"/>
  <c r="Z7" i="5"/>
  <c r="AA7" i="5" s="1"/>
  <c r="Z8" i="5"/>
  <c r="AA8" i="5" s="1"/>
  <c r="Z9" i="5"/>
  <c r="AA9" i="5" s="1"/>
  <c r="Z10" i="5"/>
  <c r="AA10" i="5" s="1"/>
  <c r="Z11" i="5"/>
  <c r="AA11" i="5" s="1"/>
  <c r="Z12" i="5"/>
  <c r="AA12" i="5" s="1"/>
  <c r="Z13" i="5"/>
  <c r="AA13" i="5" s="1"/>
  <c r="Z14" i="5"/>
  <c r="AA14" i="5" s="1"/>
  <c r="Z15" i="5"/>
  <c r="AA15" i="5" s="1"/>
  <c r="Z16" i="5"/>
  <c r="AA16" i="5" s="1"/>
  <c r="Z17" i="5"/>
  <c r="AA17" i="5" s="1"/>
  <c r="Z18" i="5"/>
  <c r="AA18" i="5" s="1"/>
  <c r="Z19" i="5"/>
  <c r="AA19" i="5" s="1"/>
  <c r="Z20" i="5"/>
  <c r="AA20" i="5" s="1"/>
  <c r="Z21" i="5"/>
  <c r="AA21" i="5" s="1"/>
  <c r="Z22" i="5"/>
  <c r="AA22" i="5" s="1"/>
  <c r="Z23" i="5"/>
  <c r="AA23" i="5" s="1"/>
  <c r="Z24" i="5"/>
  <c r="AA24" i="5" s="1"/>
  <c r="Z25" i="5"/>
  <c r="AA25" i="5" s="1"/>
  <c r="Z26" i="5"/>
  <c r="Z27" i="5"/>
  <c r="Z28" i="5"/>
  <c r="Z29" i="5"/>
  <c r="Z30" i="5"/>
  <c r="Z31" i="5"/>
  <c r="Z32" i="5"/>
  <c r="Z33" i="5"/>
  <c r="Z34" i="5"/>
  <c r="Z35" i="5"/>
  <c r="Z36" i="5"/>
  <c r="Z37" i="5"/>
  <c r="Z38" i="5"/>
  <c r="Z39" i="5"/>
  <c r="Z40" i="5"/>
  <c r="Z41" i="5"/>
  <c r="Z42" i="5"/>
  <c r="Z43" i="5"/>
  <c r="Z44" i="5"/>
  <c r="Z45" i="5"/>
  <c r="Z46" i="5"/>
  <c r="Z47" i="5"/>
  <c r="Z48" i="5"/>
  <c r="Z49" i="5"/>
  <c r="Z50" i="5"/>
  <c r="Z51" i="5"/>
  <c r="Z52" i="5"/>
  <c r="Z53" i="5"/>
  <c r="Z54" i="5"/>
  <c r="Z55" i="5"/>
  <c r="Z56" i="5"/>
  <c r="AA56" i="5" s="1"/>
  <c r="Z57" i="5"/>
  <c r="AA57" i="5" s="1"/>
  <c r="Z58" i="5"/>
  <c r="AA58" i="5" s="1"/>
  <c r="Z59" i="5"/>
  <c r="AA59" i="5" s="1"/>
  <c r="Z60" i="5"/>
  <c r="AA60" i="5" s="1"/>
  <c r="Z61" i="5"/>
  <c r="AA61" i="5" s="1"/>
  <c r="Z62" i="5"/>
  <c r="AA62" i="5" s="1"/>
  <c r="Z63" i="5"/>
  <c r="AA63" i="5" s="1"/>
  <c r="Z64" i="5"/>
  <c r="AA64" i="5" s="1"/>
  <c r="Z65" i="5"/>
  <c r="AA65" i="5" s="1"/>
  <c r="Z66" i="5"/>
  <c r="AA66" i="5" s="1"/>
  <c r="Z67" i="5"/>
  <c r="AA67" i="5" s="1"/>
  <c r="Z68" i="5"/>
  <c r="AA68" i="5" s="1"/>
  <c r="Z69" i="5"/>
  <c r="AA69" i="5" s="1"/>
  <c r="Z70" i="5"/>
  <c r="AA70" i="5" s="1"/>
  <c r="Z71" i="5"/>
  <c r="AA71" i="5" s="1"/>
  <c r="Z72" i="5"/>
  <c r="AA72" i="5" s="1"/>
  <c r="Z73" i="5"/>
  <c r="AA73" i="5" s="1"/>
  <c r="Z74" i="5"/>
  <c r="AA74" i="5" s="1"/>
  <c r="Z75" i="5"/>
  <c r="AA75" i="5" s="1"/>
  <c r="Z76" i="5"/>
  <c r="AA76" i="5" s="1"/>
  <c r="Z77" i="5"/>
  <c r="AA77" i="5" s="1"/>
  <c r="Z78" i="5"/>
  <c r="AA78" i="5" s="1"/>
  <c r="Z79" i="5"/>
  <c r="AA79" i="5" s="1"/>
  <c r="Z80" i="5"/>
  <c r="AA80" i="5" s="1"/>
  <c r="Z81" i="5"/>
  <c r="AA81" i="5" s="1"/>
  <c r="Z82" i="5"/>
  <c r="AA82" i="5" s="1"/>
  <c r="Z83" i="5"/>
  <c r="AA83" i="5" s="1"/>
  <c r="Z84" i="5"/>
  <c r="AA84" i="5" s="1"/>
  <c r="Z85" i="5"/>
  <c r="AA85" i="5" s="1"/>
  <c r="Z86" i="5"/>
  <c r="AA86" i="5" s="1"/>
  <c r="Z87" i="5"/>
  <c r="AA87" i="5" s="1"/>
  <c r="Z88" i="5"/>
  <c r="AA88" i="5" s="1"/>
  <c r="Z89" i="5"/>
  <c r="AA89" i="5" s="1"/>
  <c r="Z90" i="5"/>
  <c r="AA90" i="5" s="1"/>
  <c r="Z91" i="5"/>
  <c r="AA91" i="5" s="1"/>
  <c r="Z92" i="5"/>
  <c r="AA92" i="5" s="1"/>
  <c r="Z93" i="5"/>
  <c r="AA93" i="5" s="1"/>
  <c r="Z94" i="5"/>
  <c r="AA94" i="5" s="1"/>
  <c r="Z95" i="5"/>
  <c r="AA95" i="5" s="1"/>
  <c r="Z96" i="5"/>
  <c r="AA96" i="5" s="1"/>
  <c r="Z97" i="5"/>
  <c r="AA97" i="5" s="1"/>
  <c r="Z98" i="5"/>
  <c r="AA98" i="5" s="1"/>
  <c r="Z99" i="5"/>
  <c r="AA99" i="5" s="1"/>
  <c r="Z100" i="5"/>
  <c r="AA100" i="5" s="1"/>
  <c r="Z101" i="5"/>
  <c r="AA101" i="5" s="1"/>
  <c r="Z102" i="5"/>
  <c r="AA102" i="5" s="1"/>
  <c r="Z103" i="5"/>
  <c r="AA103" i="5" s="1"/>
  <c r="Z104" i="5"/>
  <c r="AA104" i="5" s="1"/>
  <c r="Z105" i="5"/>
  <c r="AA105" i="5" s="1"/>
  <c r="Z106" i="5"/>
  <c r="AA106" i="5" s="1"/>
  <c r="Z107" i="5"/>
  <c r="AA107" i="5" s="1"/>
  <c r="Z108" i="5"/>
  <c r="AA108" i="5" s="1"/>
  <c r="Z109" i="5"/>
  <c r="AA109" i="5" s="1"/>
  <c r="Z110" i="5"/>
  <c r="AA110" i="5" s="1"/>
  <c r="Z111" i="5"/>
  <c r="AA111" i="5" s="1"/>
  <c r="Z112" i="5"/>
  <c r="AA112" i="5" s="1"/>
  <c r="Z113" i="5"/>
  <c r="AA113" i="5" s="1"/>
  <c r="Z114" i="5"/>
  <c r="AA114" i="5" s="1"/>
  <c r="Z115" i="5"/>
  <c r="AA115" i="5" s="1"/>
  <c r="Z116" i="5"/>
  <c r="AA116" i="5" s="1"/>
  <c r="Z117" i="5"/>
  <c r="AA117" i="5" s="1"/>
  <c r="Z118" i="5"/>
  <c r="AA118" i="5" s="1"/>
  <c r="Z119" i="5"/>
  <c r="AA119" i="5" s="1"/>
  <c r="Z120" i="5"/>
  <c r="AA120" i="5" s="1"/>
  <c r="Z121" i="5"/>
  <c r="AA121" i="5" s="1"/>
  <c r="Z122" i="5"/>
  <c r="AA122" i="5" s="1"/>
  <c r="Z123" i="5"/>
  <c r="AA123" i="5" s="1"/>
  <c r="Z124" i="5"/>
  <c r="AA124" i="5" s="1"/>
  <c r="Z125" i="5"/>
  <c r="AA125" i="5" s="1"/>
  <c r="Z126" i="5"/>
  <c r="AA126" i="5" s="1"/>
  <c r="Z127" i="5"/>
  <c r="AA127" i="5" s="1"/>
  <c r="Z128" i="5"/>
  <c r="AA128" i="5" s="1"/>
  <c r="Z129" i="5"/>
  <c r="AA129" i="5" s="1"/>
  <c r="Z130" i="5"/>
  <c r="AA130" i="5" s="1"/>
  <c r="Z131" i="5"/>
  <c r="AA131" i="5" s="1"/>
  <c r="Z132" i="5"/>
  <c r="AA132" i="5" s="1"/>
  <c r="Z133" i="5"/>
  <c r="AA133" i="5" s="1"/>
  <c r="Z134" i="5"/>
  <c r="AA134" i="5" s="1"/>
  <c r="Z135" i="5"/>
  <c r="AA135" i="5" s="1"/>
  <c r="Z136" i="5"/>
  <c r="AA136" i="5" s="1"/>
  <c r="Z137" i="5"/>
  <c r="AA137" i="5" s="1"/>
  <c r="Z138" i="5"/>
  <c r="AA138" i="5" s="1"/>
  <c r="Z139" i="5"/>
  <c r="AA139" i="5" s="1"/>
  <c r="Z140" i="5"/>
  <c r="AA140" i="5" s="1"/>
  <c r="Z141" i="5"/>
  <c r="AA141" i="5" s="1"/>
  <c r="Z142" i="5"/>
  <c r="AA142" i="5" s="1"/>
  <c r="Z143" i="5"/>
  <c r="AA143" i="5" s="1"/>
  <c r="Z144" i="5"/>
  <c r="AA144" i="5" s="1"/>
  <c r="Z145" i="5"/>
  <c r="AA145" i="5" s="1"/>
  <c r="Z146" i="5"/>
  <c r="AA146" i="5" s="1"/>
  <c r="Z147" i="5"/>
  <c r="AA147" i="5" s="1"/>
  <c r="Z148" i="5"/>
  <c r="AA148" i="5" s="1"/>
  <c r="Z149" i="5"/>
  <c r="AA149" i="5" s="1"/>
  <c r="Z150" i="5"/>
  <c r="AA150" i="5" s="1"/>
  <c r="Z151" i="5"/>
  <c r="AA151" i="5" s="1"/>
  <c r="Z152" i="5"/>
  <c r="AA152" i="5" s="1"/>
  <c r="Z153" i="5"/>
  <c r="AA153" i="5" s="1"/>
  <c r="Z154" i="5"/>
  <c r="AA154" i="5" s="1"/>
  <c r="Z155" i="5"/>
  <c r="AA155" i="5" s="1"/>
  <c r="Z156" i="5"/>
  <c r="AA156" i="5" s="1"/>
  <c r="Z157" i="5"/>
  <c r="AA157" i="5" s="1"/>
  <c r="Z158" i="5"/>
  <c r="AA158" i="5" s="1"/>
  <c r="Z159" i="5"/>
  <c r="AA159" i="5" s="1"/>
  <c r="Z160" i="5"/>
  <c r="AA160" i="5" s="1"/>
  <c r="Z161" i="5"/>
  <c r="AA161" i="5" s="1"/>
  <c r="Z162" i="5"/>
  <c r="AA162" i="5" s="1"/>
  <c r="Z163" i="5"/>
  <c r="AA163" i="5" s="1"/>
  <c r="Z164" i="5"/>
  <c r="AA164" i="5" s="1"/>
  <c r="Z165" i="5"/>
  <c r="AA165" i="5" s="1"/>
  <c r="Z166" i="5"/>
  <c r="AA166" i="5" s="1"/>
  <c r="Z167" i="5"/>
  <c r="AA167" i="5" s="1"/>
  <c r="Z168" i="5"/>
  <c r="AA168" i="5" s="1"/>
  <c r="Z169" i="5"/>
  <c r="AA169" i="5" s="1"/>
  <c r="Z170" i="5"/>
  <c r="AA170" i="5" s="1"/>
  <c r="Z171" i="5"/>
  <c r="AA171" i="5" s="1"/>
  <c r="Z172" i="5"/>
  <c r="AA172" i="5" s="1"/>
  <c r="Z173" i="5"/>
  <c r="AA173" i="5" s="1"/>
  <c r="Z174" i="5"/>
  <c r="AA174" i="5" s="1"/>
  <c r="Z175" i="5"/>
  <c r="AA175" i="5" s="1"/>
  <c r="Z176" i="5"/>
  <c r="AA176" i="5" s="1"/>
  <c r="Z177" i="5"/>
  <c r="AA177" i="5" s="1"/>
  <c r="Z178" i="5"/>
  <c r="AA178" i="5" s="1"/>
  <c r="Z179" i="5"/>
  <c r="AA179" i="5" s="1"/>
  <c r="Z180" i="5"/>
  <c r="AA180" i="5" s="1"/>
  <c r="Z181" i="5"/>
  <c r="AA181" i="5" s="1"/>
  <c r="Z182" i="5"/>
  <c r="AA182" i="5" s="1"/>
  <c r="Z183" i="5"/>
  <c r="AA183" i="5" s="1"/>
  <c r="Z184" i="5"/>
  <c r="AA184" i="5" s="1"/>
  <c r="Z185" i="5"/>
  <c r="AA185" i="5" s="1"/>
  <c r="Z186" i="5"/>
  <c r="AA186" i="5" s="1"/>
  <c r="Z187" i="5"/>
  <c r="AA187" i="5" s="1"/>
  <c r="Z188" i="5"/>
  <c r="AA188" i="5" s="1"/>
  <c r="Z189" i="5"/>
  <c r="AA189" i="5" s="1"/>
  <c r="Z190" i="5"/>
  <c r="AA190" i="5" s="1"/>
  <c r="Z191" i="5"/>
  <c r="AA191" i="5" s="1"/>
  <c r="Z192" i="5"/>
  <c r="AA192" i="5" s="1"/>
  <c r="Z193" i="5"/>
  <c r="AA193" i="5" s="1"/>
  <c r="Z194" i="5"/>
  <c r="AA194" i="5" s="1"/>
  <c r="Z195" i="5"/>
  <c r="AA195" i="5" s="1"/>
  <c r="Z196" i="5"/>
  <c r="AA196" i="5" s="1"/>
  <c r="Z197" i="5"/>
  <c r="AA197" i="5" s="1"/>
  <c r="Z198" i="5"/>
  <c r="AA198" i="5" s="1"/>
  <c r="Z199" i="5"/>
  <c r="AA199" i="5" s="1"/>
  <c r="Z200" i="5"/>
  <c r="AA200" i="5" s="1"/>
  <c r="Z201" i="5"/>
  <c r="AA201" i="5" s="1"/>
  <c r="Z202" i="5"/>
  <c r="AA202" i="5" s="1"/>
  <c r="Z203" i="5"/>
  <c r="AA203" i="5" s="1"/>
  <c r="Z204" i="5"/>
  <c r="AA204" i="5" s="1"/>
  <c r="Z205" i="5"/>
  <c r="AA205" i="5" s="1"/>
  <c r="Z206" i="5"/>
  <c r="AA206" i="5" s="1"/>
  <c r="Z207" i="5"/>
  <c r="AA207" i="5" s="1"/>
  <c r="Z208" i="5"/>
  <c r="AA208" i="5" s="1"/>
  <c r="Z209" i="5"/>
  <c r="AA209" i="5" s="1"/>
  <c r="Z210" i="5"/>
  <c r="AA210" i="5" s="1"/>
  <c r="Z211" i="5"/>
  <c r="AA211" i="5" s="1"/>
  <c r="Z212" i="5"/>
  <c r="AA212" i="5" s="1"/>
  <c r="Z213" i="5"/>
  <c r="AA213" i="5" s="1"/>
  <c r="Z214" i="5"/>
  <c r="AA214" i="5" s="1"/>
  <c r="Z215" i="5"/>
  <c r="AA215" i="5" s="1"/>
  <c r="Z216" i="5"/>
  <c r="AA216" i="5" s="1"/>
  <c r="Z217" i="5"/>
  <c r="AA217" i="5" s="1"/>
  <c r="Z218" i="5"/>
  <c r="AA218" i="5" s="1"/>
  <c r="Z219" i="5"/>
  <c r="AA219" i="5" s="1"/>
  <c r="Z220" i="5"/>
  <c r="AA220" i="5" s="1"/>
  <c r="Z221" i="5"/>
  <c r="AA221" i="5" s="1"/>
  <c r="Z222" i="5"/>
  <c r="AA222" i="5" s="1"/>
  <c r="Z223" i="5"/>
  <c r="AA223" i="5" s="1"/>
  <c r="Z224" i="5"/>
  <c r="AA224" i="5" s="1"/>
  <c r="Z225" i="5"/>
  <c r="AA225" i="5" s="1"/>
  <c r="Z226" i="5"/>
  <c r="AA226" i="5" s="1"/>
  <c r="Z227" i="5"/>
  <c r="AA227" i="5" s="1"/>
  <c r="Z228" i="5"/>
  <c r="AA228" i="5" s="1"/>
  <c r="Z229" i="5"/>
  <c r="AA229" i="5" s="1"/>
  <c r="Z230" i="5"/>
  <c r="AA230" i="5" s="1"/>
  <c r="Z231" i="5"/>
  <c r="AA231" i="5" s="1"/>
  <c r="Z232" i="5"/>
  <c r="AA232" i="5" s="1"/>
  <c r="Z233" i="5"/>
  <c r="AA233" i="5" s="1"/>
  <c r="Z234" i="5"/>
  <c r="AA234" i="5" s="1"/>
  <c r="Z235" i="5"/>
  <c r="AA235" i="5" s="1"/>
  <c r="Z236" i="5"/>
  <c r="AA236" i="5" s="1"/>
  <c r="Z237" i="5"/>
  <c r="AA237" i="5" s="1"/>
  <c r="Z238" i="5"/>
  <c r="AA238" i="5" s="1"/>
  <c r="Z239" i="5"/>
  <c r="AA239" i="5" s="1"/>
  <c r="Z240" i="5"/>
  <c r="AA240" i="5" s="1"/>
  <c r="Z241" i="5"/>
  <c r="AA241" i="5" s="1"/>
  <c r="Z242" i="5"/>
  <c r="AA242" i="5" s="1"/>
  <c r="Z243" i="5"/>
  <c r="AA243" i="5" s="1"/>
  <c r="Z244" i="5"/>
  <c r="AA244" i="5" s="1"/>
  <c r="Z245" i="5"/>
  <c r="AA245" i="5" s="1"/>
  <c r="Z246" i="5"/>
  <c r="AA246" i="5" s="1"/>
  <c r="Z247" i="5"/>
  <c r="AA247" i="5" s="1"/>
  <c r="Z248" i="5"/>
  <c r="AA248" i="5" s="1"/>
  <c r="Z249" i="5"/>
  <c r="AA249" i="5" s="1"/>
  <c r="Z250" i="5"/>
  <c r="AA250" i="5" s="1"/>
  <c r="Z251" i="5"/>
  <c r="AA251" i="5" s="1"/>
  <c r="Z252" i="5"/>
  <c r="AA252" i="5" s="1"/>
  <c r="Z253" i="5"/>
  <c r="AA253" i="5" s="1"/>
  <c r="Z254" i="5"/>
  <c r="AA254" i="5" s="1"/>
  <c r="Z255" i="5"/>
  <c r="AA255" i="5" s="1"/>
  <c r="Z256" i="5"/>
  <c r="AA256" i="5" s="1"/>
  <c r="Z257" i="5"/>
  <c r="AA257" i="5" s="1"/>
  <c r="Z258" i="5"/>
  <c r="AA258" i="5" s="1"/>
  <c r="Z259" i="5"/>
  <c r="AA259" i="5" s="1"/>
  <c r="Z260" i="5"/>
  <c r="AA260" i="5" s="1"/>
  <c r="Z261" i="5"/>
  <c r="AA261" i="5" s="1"/>
  <c r="Z262" i="5"/>
  <c r="AA262" i="5" s="1"/>
  <c r="Z263" i="5"/>
  <c r="AA263" i="5" s="1"/>
  <c r="Z264" i="5"/>
  <c r="Z265" i="5"/>
  <c r="Z266" i="5"/>
  <c r="Z267" i="5"/>
  <c r="Z268" i="5"/>
  <c r="Z269" i="5"/>
  <c r="Z270" i="5"/>
  <c r="Z271" i="5"/>
  <c r="Z272" i="5"/>
  <c r="Z273" i="5"/>
  <c r="Z274" i="5"/>
  <c r="Z275" i="5"/>
  <c r="Z276" i="5"/>
  <c r="Z277" i="5"/>
  <c r="Z278" i="5"/>
  <c r="Z279" i="5"/>
  <c r="Z280" i="5"/>
  <c r="Z281" i="5"/>
  <c r="Z282" i="5"/>
  <c r="Z283" i="5"/>
  <c r="Z284" i="5"/>
  <c r="Z285" i="5"/>
  <c r="Z286" i="5"/>
  <c r="Z287" i="5"/>
  <c r="Z288" i="5"/>
  <c r="Z289" i="5"/>
  <c r="Z290" i="5"/>
  <c r="Z291" i="5"/>
  <c r="Z292" i="5"/>
  <c r="Z293" i="5"/>
  <c r="Z294" i="5"/>
  <c r="Z295" i="5"/>
  <c r="Z296" i="5"/>
  <c r="Z297" i="5"/>
  <c r="Z298" i="5"/>
  <c r="Z299" i="5"/>
  <c r="Z300" i="5"/>
  <c r="Z301" i="5"/>
  <c r="Z302" i="5"/>
  <c r="Z303" i="5"/>
  <c r="Z304" i="5"/>
  <c r="Z305" i="5"/>
  <c r="Z306" i="5"/>
  <c r="Z307" i="5"/>
  <c r="Z308" i="5"/>
  <c r="Z309" i="5"/>
  <c r="Z310" i="5"/>
  <c r="Z311" i="5"/>
  <c r="Z312" i="5"/>
  <c r="Z313" i="5"/>
  <c r="Z314" i="5"/>
  <c r="Z315" i="5"/>
  <c r="Z316" i="5"/>
  <c r="Z317" i="5"/>
  <c r="AA317" i="5" s="1"/>
  <c r="Z318" i="5"/>
  <c r="AA318" i="5" s="1"/>
  <c r="Z319" i="5"/>
  <c r="AA319" i="5" s="1"/>
  <c r="Z320" i="5"/>
  <c r="AA320" i="5" s="1"/>
  <c r="Z321" i="5"/>
  <c r="AA321" i="5" s="1"/>
  <c r="Z322" i="5"/>
  <c r="AA322" i="5" s="1"/>
  <c r="Z323" i="5"/>
  <c r="AA323" i="5" s="1"/>
  <c r="Z324" i="5"/>
  <c r="AA324" i="5" s="1"/>
  <c r="Z325" i="5"/>
  <c r="AA325" i="5" s="1"/>
  <c r="Z326" i="5"/>
  <c r="AA326" i="5" s="1"/>
  <c r="Z327" i="5"/>
  <c r="Z328" i="5"/>
  <c r="AA328" i="5" s="1"/>
  <c r="Z329" i="5"/>
  <c r="AA329" i="5" s="1"/>
  <c r="Z330" i="5"/>
  <c r="AA330" i="5" s="1"/>
  <c r="Z331" i="5"/>
  <c r="AA331" i="5" s="1"/>
  <c r="Z332" i="5"/>
  <c r="AA332" i="5" s="1"/>
  <c r="Z333" i="5"/>
  <c r="AA333" i="5" s="1"/>
  <c r="Z334" i="5"/>
  <c r="AA334" i="5" s="1"/>
  <c r="Z335" i="5"/>
  <c r="AA335" i="5" s="1"/>
  <c r="Z336" i="5"/>
  <c r="AA336" i="5" s="1"/>
  <c r="Z337" i="5"/>
  <c r="AA337" i="5" s="1"/>
  <c r="Z338" i="5"/>
  <c r="AA338" i="5" s="1"/>
  <c r="Z339" i="5"/>
  <c r="AA339" i="5" s="1"/>
  <c r="Z340" i="5"/>
  <c r="AA340" i="5" s="1"/>
  <c r="Z341" i="5"/>
  <c r="AA341" i="5" s="1"/>
  <c r="Z342" i="5"/>
  <c r="AA342" i="5" s="1"/>
  <c r="Z343" i="5"/>
  <c r="AA343" i="5" s="1"/>
  <c r="Z344" i="5"/>
  <c r="AA344" i="5" s="1"/>
  <c r="Z345" i="5"/>
  <c r="AA345" i="5" s="1"/>
  <c r="Z346" i="5"/>
  <c r="AA346" i="5" s="1"/>
  <c r="Z347" i="5"/>
  <c r="AA347" i="5" s="1"/>
  <c r="Z348" i="5"/>
  <c r="AA348" i="5" s="1"/>
  <c r="Z349" i="5"/>
  <c r="AA349" i="5" s="1"/>
  <c r="Z350" i="5"/>
  <c r="AA350" i="5" s="1"/>
  <c r="Z351" i="5"/>
  <c r="AA351" i="5" s="1"/>
  <c r="Z352" i="5"/>
  <c r="AA352" i="5" s="1"/>
  <c r="Z353" i="5"/>
  <c r="AA353" i="5" s="1"/>
  <c r="Z354" i="5"/>
  <c r="AA354" i="5" s="1"/>
  <c r="Z355" i="5"/>
  <c r="AA355" i="5" s="1"/>
  <c r="Z356" i="5"/>
  <c r="AA356" i="5" s="1"/>
  <c r="Z357" i="5"/>
  <c r="AA357" i="5" s="1"/>
  <c r="Z358" i="5"/>
  <c r="AA358" i="5" s="1"/>
  <c r="Z359" i="5"/>
  <c r="Z360" i="5"/>
  <c r="AA360" i="5" s="1"/>
  <c r="Z361" i="5"/>
  <c r="AA361" i="5" s="1"/>
  <c r="Z362" i="5"/>
  <c r="AA362" i="5" s="1"/>
  <c r="Z363" i="5"/>
  <c r="AA363" i="5" s="1"/>
  <c r="Z364" i="5"/>
  <c r="AA364" i="5" s="1"/>
  <c r="Z365" i="5"/>
  <c r="AA365" i="5" s="1"/>
  <c r="Z366" i="5"/>
  <c r="AA366" i="5" s="1"/>
  <c r="Z367" i="5"/>
  <c r="AA367" i="5" s="1"/>
  <c r="Z368" i="5"/>
  <c r="AA368" i="5" s="1"/>
  <c r="Z369" i="5"/>
  <c r="AA369" i="5" s="1"/>
  <c r="Z370" i="5"/>
  <c r="AA370" i="5" s="1"/>
  <c r="Z371" i="5"/>
  <c r="AA371" i="5" s="1"/>
  <c r="Z372" i="5"/>
  <c r="AA372" i="5" s="1"/>
  <c r="Z373" i="5"/>
  <c r="AA373" i="5" s="1"/>
  <c r="Z374" i="5"/>
  <c r="AA374" i="5" s="1"/>
  <c r="Z375" i="5"/>
  <c r="AA375" i="5" s="1"/>
  <c r="Z376" i="5"/>
  <c r="AA376" i="5" s="1"/>
  <c r="Z377" i="5"/>
  <c r="AA377" i="5" s="1"/>
  <c r="Z378" i="5"/>
  <c r="AA378" i="5" s="1"/>
  <c r="Z379" i="5"/>
  <c r="AA379" i="5" s="1"/>
  <c r="Z380" i="5"/>
  <c r="AA380" i="5" s="1"/>
  <c r="Z381" i="5"/>
  <c r="AA381" i="5" s="1"/>
  <c r="Z382" i="5"/>
  <c r="AA382" i="5" s="1"/>
  <c r="Z383" i="5"/>
  <c r="AA383" i="5" s="1"/>
  <c r="Z384" i="5"/>
  <c r="AA384" i="5" s="1"/>
  <c r="Z385" i="5"/>
  <c r="AA385" i="5" s="1"/>
  <c r="Z386" i="5"/>
  <c r="AA386" i="5" s="1"/>
  <c r="Z387" i="5"/>
  <c r="AA387" i="5" s="1"/>
  <c r="Z388" i="5"/>
  <c r="AA388" i="5" s="1"/>
  <c r="Z389" i="5"/>
  <c r="AA389" i="5" s="1"/>
  <c r="Z390" i="5"/>
  <c r="AA390" i="5" s="1"/>
  <c r="Z391" i="5"/>
  <c r="Z392" i="5"/>
  <c r="AA392" i="5" s="1"/>
  <c r="Z393" i="5"/>
  <c r="AA393" i="5" s="1"/>
  <c r="Z394" i="5"/>
  <c r="AA394" i="5" s="1"/>
  <c r="Z395" i="5"/>
  <c r="AA395" i="5" s="1"/>
  <c r="Z396" i="5"/>
  <c r="AA396" i="5" s="1"/>
  <c r="Z397" i="5"/>
  <c r="AA397" i="5" s="1"/>
  <c r="Z398" i="5"/>
  <c r="AA398" i="5" s="1"/>
  <c r="Z399" i="5"/>
  <c r="AA399" i="5" s="1"/>
  <c r="Z400" i="5"/>
  <c r="AA400" i="5" s="1"/>
  <c r="Z401" i="5"/>
  <c r="AA401" i="5" s="1"/>
  <c r="Z402" i="5"/>
  <c r="AA402" i="5" s="1"/>
  <c r="Z403" i="5"/>
  <c r="AA403" i="5" s="1"/>
  <c r="Z404" i="5"/>
  <c r="AA404" i="5" s="1"/>
  <c r="Z405" i="5"/>
  <c r="AA405" i="5" s="1"/>
  <c r="Z406" i="5"/>
  <c r="AA406" i="5" s="1"/>
  <c r="Z407" i="5"/>
  <c r="AA407" i="5" s="1"/>
  <c r="Z408" i="5"/>
  <c r="AA408" i="5" s="1"/>
  <c r="Z409" i="5"/>
  <c r="AA409" i="5" s="1"/>
  <c r="Z410" i="5"/>
  <c r="AA410" i="5" s="1"/>
  <c r="Z411" i="5"/>
  <c r="AA411" i="5" s="1"/>
  <c r="Z412" i="5"/>
  <c r="AA412" i="5" s="1"/>
  <c r="Z413" i="5"/>
  <c r="AA413" i="5" s="1"/>
  <c r="Z414" i="5"/>
  <c r="AA414" i="5" s="1"/>
  <c r="Z415" i="5"/>
  <c r="AA415" i="5" s="1"/>
  <c r="Z416" i="5"/>
  <c r="AA416" i="5" s="1"/>
  <c r="Z417" i="5"/>
  <c r="Z418" i="5"/>
  <c r="Z419" i="5"/>
  <c r="AA419" i="5" s="1"/>
  <c r="Z420" i="5"/>
  <c r="Z421" i="5"/>
  <c r="AA421" i="5" s="1"/>
  <c r="Z422" i="5"/>
  <c r="Z423" i="5"/>
  <c r="Z425" i="5"/>
  <c r="AA425" i="5" s="1"/>
  <c r="Z426" i="5"/>
  <c r="AA426" i="5" s="1"/>
  <c r="Z424" i="5"/>
  <c r="AA424" i="5" s="1"/>
  <c r="B31" i="1" l="1"/>
  <c r="AA2" i="5"/>
  <c r="B3" i="5"/>
  <c r="B4" i="5" s="1"/>
  <c r="B5" i="5" s="1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100" i="5" s="1"/>
  <c r="B101" i="5" s="1"/>
  <c r="B102" i="5" s="1"/>
  <c r="B103" i="5" s="1"/>
  <c r="B104" i="5" s="1"/>
  <c r="B105" i="5" s="1"/>
  <c r="B106" i="5" s="1"/>
  <c r="B107" i="5" s="1"/>
  <c r="B108" i="5" s="1"/>
  <c r="B109" i="5" s="1"/>
  <c r="B110" i="5" s="1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B121" i="5" s="1"/>
  <c r="B122" i="5" s="1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B138" i="5" s="1"/>
  <c r="B139" i="5" s="1"/>
  <c r="B140" i="5" s="1"/>
  <c r="B141" i="5" s="1"/>
  <c r="B142" i="5" s="1"/>
  <c r="B143" i="5" s="1"/>
  <c r="B144" i="5" s="1"/>
  <c r="B145" i="5" s="1"/>
  <c r="B146" i="5" s="1"/>
  <c r="B147" i="5" s="1"/>
  <c r="B148" i="5" s="1"/>
  <c r="B149" i="5" s="1"/>
  <c r="B150" i="5" s="1"/>
  <c r="B151" i="5" s="1"/>
  <c r="B152" i="5" s="1"/>
  <c r="B153" i="5" s="1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B201" i="5" s="1"/>
  <c r="B202" i="5" s="1"/>
  <c r="B203" i="5" s="1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B251" i="5" s="1"/>
  <c r="B252" i="5" s="1"/>
  <c r="B253" i="5" s="1"/>
  <c r="B254" i="5" s="1"/>
  <c r="B255" i="5" s="1"/>
  <c r="B256" i="5" s="1"/>
  <c r="B257" i="5" s="1"/>
  <c r="B258" i="5" s="1"/>
  <c r="B259" i="5" s="1"/>
  <c r="B260" i="5" s="1"/>
  <c r="B261" i="5" s="1"/>
  <c r="B262" i="5" s="1"/>
  <c r="B263" i="5" s="1"/>
  <c r="B264" i="5" s="1"/>
  <c r="B265" i="5" s="1"/>
  <c r="B266" i="5" s="1"/>
  <c r="B267" i="5" s="1"/>
  <c r="B268" i="5" s="1"/>
  <c r="B269" i="5" s="1"/>
  <c r="B270" i="5" s="1"/>
  <c r="B271" i="5" s="1"/>
  <c r="B272" i="5" s="1"/>
  <c r="B273" i="5" s="1"/>
  <c r="B274" i="5" s="1"/>
  <c r="B275" i="5" s="1"/>
  <c r="B276" i="5" s="1"/>
  <c r="B277" i="5" s="1"/>
  <c r="B278" i="5" s="1"/>
  <c r="B279" i="5" s="1"/>
  <c r="B280" i="5" s="1"/>
  <c r="B281" i="5" s="1"/>
  <c r="B282" i="5" s="1"/>
  <c r="B283" i="5" s="1"/>
  <c r="B284" i="5" s="1"/>
  <c r="B285" i="5" s="1"/>
  <c r="B286" i="5" s="1"/>
  <c r="B287" i="5" s="1"/>
  <c r="B288" i="5" s="1"/>
  <c r="B289" i="5" s="1"/>
  <c r="B290" i="5" s="1"/>
  <c r="B291" i="5" s="1"/>
  <c r="B292" i="5" s="1"/>
  <c r="B293" i="5" s="1"/>
  <c r="B294" i="5" s="1"/>
  <c r="B295" i="5" s="1"/>
  <c r="B296" i="5" s="1"/>
  <c r="B297" i="5" s="1"/>
  <c r="B298" i="5" s="1"/>
  <c r="B299" i="5" s="1"/>
  <c r="B300" i="5" s="1"/>
  <c r="B301" i="5" s="1"/>
  <c r="B302" i="5" s="1"/>
  <c r="B303" i="5" s="1"/>
  <c r="B304" i="5" s="1"/>
  <c r="B305" i="5" s="1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B323" i="5" s="1"/>
  <c r="B324" i="5" s="1"/>
  <c r="B325" i="5" s="1"/>
  <c r="B326" i="5" s="1"/>
  <c r="B327" i="5" s="1"/>
  <c r="B328" i="5" s="1"/>
  <c r="B329" i="5" s="1"/>
  <c r="B330" i="5" s="1"/>
  <c r="B331" i="5" s="1"/>
  <c r="B332" i="5" s="1"/>
  <c r="B333" i="5" s="1"/>
  <c r="B334" i="5" s="1"/>
  <c r="B335" i="5" s="1"/>
  <c r="B336" i="5" s="1"/>
  <c r="B337" i="5" s="1"/>
  <c r="B338" i="5" s="1"/>
  <c r="B339" i="5" s="1"/>
  <c r="B340" i="5" s="1"/>
  <c r="B341" i="5" s="1"/>
  <c r="B342" i="5" s="1"/>
  <c r="B343" i="5" s="1"/>
  <c r="B344" i="5" s="1"/>
  <c r="B345" i="5" s="1"/>
  <c r="B346" i="5" s="1"/>
  <c r="B347" i="5" s="1"/>
  <c r="B348" i="5" s="1"/>
  <c r="B349" i="5" s="1"/>
  <c r="B350" i="5" s="1"/>
  <c r="B351" i="5" s="1"/>
  <c r="B352" i="5" s="1"/>
  <c r="B353" i="5" s="1"/>
  <c r="B354" i="5" s="1"/>
  <c r="B355" i="5" s="1"/>
  <c r="B356" i="5" s="1"/>
  <c r="B357" i="5" s="1"/>
  <c r="B358" i="5" s="1"/>
  <c r="B359" i="5" s="1"/>
  <c r="B360" i="5" s="1"/>
  <c r="B361" i="5" s="1"/>
  <c r="B362" i="5" s="1"/>
  <c r="B363" i="5" s="1"/>
  <c r="B364" i="5" s="1"/>
  <c r="B365" i="5" s="1"/>
  <c r="B366" i="5" s="1"/>
  <c r="B367" i="5" s="1"/>
  <c r="B368" i="5" s="1"/>
  <c r="B369" i="5" s="1"/>
  <c r="B370" i="5" s="1"/>
  <c r="B371" i="5" s="1"/>
  <c r="B372" i="5" s="1"/>
  <c r="B373" i="5" s="1"/>
  <c r="B374" i="5" s="1"/>
  <c r="B375" i="5" s="1"/>
  <c r="B376" i="5" s="1"/>
  <c r="B377" i="5" s="1"/>
  <c r="B378" i="5" s="1"/>
  <c r="B379" i="5" s="1"/>
  <c r="B380" i="5" s="1"/>
  <c r="B381" i="5" s="1"/>
  <c r="B382" i="5" s="1"/>
  <c r="B383" i="5" s="1"/>
  <c r="B384" i="5" s="1"/>
  <c r="B385" i="5" s="1"/>
  <c r="B386" i="5" s="1"/>
  <c r="B387" i="5" s="1"/>
  <c r="B388" i="5" s="1"/>
  <c r="B389" i="5" s="1"/>
  <c r="B390" i="5" s="1"/>
  <c r="B391" i="5" s="1"/>
  <c r="B392" i="5" s="1"/>
  <c r="B393" i="5" s="1"/>
  <c r="B394" i="5" s="1"/>
  <c r="B395" i="5" s="1"/>
  <c r="B396" i="5" s="1"/>
  <c r="B397" i="5" s="1"/>
  <c r="B398" i="5" s="1"/>
  <c r="B399" i="5" s="1"/>
  <c r="B400" i="5" s="1"/>
  <c r="B401" i="5" s="1"/>
  <c r="B402" i="5" s="1"/>
  <c r="B403" i="5" s="1"/>
  <c r="B404" i="5" s="1"/>
  <c r="B405" i="5" s="1"/>
  <c r="B406" i="5" s="1"/>
  <c r="B407" i="5" s="1"/>
  <c r="B408" i="5" s="1"/>
  <c r="B409" i="5" s="1"/>
  <c r="B410" i="5" s="1"/>
  <c r="B411" i="5" s="1"/>
  <c r="B412" i="5" s="1"/>
  <c r="B413" i="5" s="1"/>
  <c r="B414" i="5" s="1"/>
  <c r="B415" i="5" s="1"/>
  <c r="B416" i="5" s="1"/>
  <c r="B417" i="5" s="1"/>
  <c r="B418" i="5" s="1"/>
  <c r="B419" i="5" s="1"/>
  <c r="B420" i="5" s="1"/>
  <c r="B421" i="5" s="1"/>
  <c r="B422" i="5" s="1"/>
  <c r="B423" i="5" s="1"/>
  <c r="B424" i="5" s="1"/>
  <c r="B425" i="5" s="1"/>
  <c r="B426" i="5" s="1"/>
  <c r="B427" i="5" s="1"/>
  <c r="B428" i="5" s="1"/>
  <c r="B429" i="5" s="1"/>
  <c r="B430" i="5" s="1"/>
  <c r="B431" i="5" s="1"/>
  <c r="B432" i="5" s="1"/>
  <c r="B433" i="5" s="1"/>
  <c r="B434" i="5" s="1"/>
  <c r="L3" i="1"/>
  <c r="C2" i="1"/>
  <c r="C31" i="1" l="1"/>
  <c r="D31" i="1" s="1"/>
  <c r="E31" i="1" s="1"/>
  <c r="C4" i="1"/>
  <c r="C5" i="1"/>
  <c r="L8" i="1" l="1"/>
  <c r="L7" i="1"/>
  <c r="C12" i="1" l="1"/>
  <c r="L12" i="1" s="1"/>
  <c r="L16" i="1"/>
  <c r="L6" i="1"/>
  <c r="L9" i="1"/>
  <c r="L14" i="1"/>
  <c r="L17" i="1"/>
  <c r="L18" i="1"/>
  <c r="L19" i="1"/>
  <c r="L20" i="1"/>
  <c r="L22" i="1"/>
  <c r="L23" i="1"/>
  <c r="L24" i="1"/>
  <c r="L25" i="1"/>
  <c r="L26" i="1"/>
  <c r="L27" i="1"/>
  <c r="L5" i="1"/>
  <c r="C27" i="1"/>
  <c r="C26" i="1"/>
  <c r="C21" i="1"/>
  <c r="L21" i="1" s="1"/>
  <c r="C19" i="1"/>
  <c r="C20" i="1"/>
  <c r="C18" i="1"/>
  <c r="C13" i="1"/>
  <c r="L13" i="1" s="1"/>
  <c r="C15" i="1"/>
  <c r="L15" i="1" s="1"/>
  <c r="C17" i="1"/>
  <c r="C11" i="1"/>
  <c r="L11" i="1" s="1"/>
  <c r="C10" i="1"/>
  <c r="L10" i="1" s="1"/>
  <c r="L4" i="1"/>
  <c r="L2" i="1"/>
  <c r="C28" i="1" l="1"/>
  <c r="L28" i="1"/>
</calcChain>
</file>

<file path=xl/sharedStrings.xml><?xml version="1.0" encoding="utf-8"?>
<sst xmlns="http://schemas.openxmlformats.org/spreadsheetml/2006/main" count="2143" uniqueCount="151">
  <si>
    <t>Account Name</t>
  </si>
  <si>
    <t>Coverage</t>
  </si>
  <si>
    <t>Num Cases</t>
  </si>
  <si>
    <t>Resolution</t>
  </si>
  <si>
    <t>YearBuilt</t>
  </si>
  <si>
    <t>Assumed Postcode</t>
  </si>
  <si>
    <t>Building</t>
  </si>
  <si>
    <t>OccResidential</t>
  </si>
  <si>
    <t>OccCommercial</t>
  </si>
  <si>
    <t>OccIndustrial</t>
  </si>
  <si>
    <t>OccUnsupported</t>
  </si>
  <si>
    <t>Range From</t>
  </si>
  <si>
    <t>Range To</t>
  </si>
  <si>
    <t>OccUndefined</t>
  </si>
  <si>
    <t>Small Test</t>
  </si>
  <si>
    <t>Yes</t>
  </si>
  <si>
    <t>No</t>
  </si>
  <si>
    <t>Expected</t>
  </si>
  <si>
    <t>OccUnknown</t>
  </si>
  <si>
    <t>OK</t>
  </si>
  <si>
    <t>ConMotor</t>
  </si>
  <si>
    <t>Key error</t>
  </si>
  <si>
    <t>GeogScheme</t>
  </si>
  <si>
    <t>Values</t>
  </si>
  <si>
    <t>Motor</t>
  </si>
  <si>
    <t>ConUnsupported</t>
  </si>
  <si>
    <t>ConMotorBuilding</t>
  </si>
  <si>
    <t>Contents</t>
  </si>
  <si>
    <t>BI</t>
  </si>
  <si>
    <t>ConMotorContents</t>
  </si>
  <si>
    <t>ConMotorBI</t>
  </si>
  <si>
    <t>Assumed Cover</t>
  </si>
  <si>
    <t>Total</t>
  </si>
  <si>
    <t>Num Small Test</t>
  </si>
  <si>
    <t>1250, 2000, 2050, 3000</t>
  </si>
  <si>
    <t>Description</t>
  </si>
  <si>
    <t>Test all location resolutions and their combination</t>
  </si>
  <si>
    <t>Test all GeogScheme and their combination</t>
  </si>
  <si>
    <t>Test all GeogScheme and resolutions overriding</t>
  </si>
  <si>
    <t>Test all age classes including uknown</t>
  </si>
  <si>
    <t>Test other commercial occupancy codes (gov, religion, etc)</t>
  </si>
  <si>
    <t>Test residential occupancy codes</t>
  </si>
  <si>
    <t>Test industrial occupancy codes</t>
  </si>
  <si>
    <t>Test unknown occupancy codes</t>
  </si>
  <si>
    <t>Test undefined occupancy codes</t>
  </si>
  <si>
    <t>Test unsupported occupancy codes</t>
  </si>
  <si>
    <t>Test commercial occupancy codes</t>
  </si>
  <si>
    <t>Tot unsupported occupancy codes</t>
  </si>
  <si>
    <t>Test all valid motor construction codes</t>
  </si>
  <si>
    <t>GNAF, PC4, ICA, CRO</t>
  </si>
  <si>
    <t>PC4</t>
  </si>
  <si>
    <t>NULL, 0, 9999, 2003, 2007, 2012, 2020</t>
  </si>
  <si>
    <t>Generated</t>
  </si>
  <si>
    <t>LocPerilsCovered</t>
  </si>
  <si>
    <t>XHL, XX1, XZ1, AA1</t>
  </si>
  <si>
    <t>LocPerilsCoveredNonX</t>
  </si>
  <si>
    <t>All other Peril Code values</t>
  </si>
  <si>
    <t>Test all convective storm peril codes</t>
  </si>
  <si>
    <t>Test all other peril codes</t>
  </si>
  <si>
    <t>AA1</t>
  </si>
  <si>
    <t>AUD</t>
  </si>
  <si>
    <t>PolPerilsCovered</t>
  </si>
  <si>
    <t>PolNumber</t>
  </si>
  <si>
    <t>AccCurrency</t>
  </si>
  <si>
    <t>AccName</t>
  </si>
  <si>
    <t>AccNumber</t>
  </si>
  <si>
    <t>PortNumber</t>
  </si>
  <si>
    <t>LocCurrency</t>
  </si>
  <si>
    <t>BITIV</t>
  </si>
  <si>
    <t>ContentsTIV</t>
  </si>
  <si>
    <t>BuildingTIV</t>
  </si>
  <si>
    <t>ConstructionCode</t>
  </si>
  <si>
    <t>OccupancyCode</t>
  </si>
  <si>
    <t>GeogName3</t>
  </si>
  <si>
    <t>GeogScheme3</t>
  </si>
  <si>
    <t>GeogName2</t>
  </si>
  <si>
    <t>GeogScheme2</t>
  </si>
  <si>
    <t>GeogName1</t>
  </si>
  <si>
    <t>GeogScheme1</t>
  </si>
  <si>
    <t>PostalCode</t>
  </si>
  <si>
    <t>Longitude</t>
  </si>
  <si>
    <t>Latitude</t>
  </si>
  <si>
    <t>CountryCode</t>
  </si>
  <si>
    <t>latlon, Postcode</t>
  </si>
  <si>
    <t>GeogSchemeFallback</t>
  </si>
  <si>
    <t>BB1</t>
  </si>
  <si>
    <t>AU</t>
  </si>
  <si>
    <t>ZZ1</t>
  </si>
  <si>
    <t>MM1</t>
  </si>
  <si>
    <t>OO1</t>
  </si>
  <si>
    <t>WW1</t>
  </si>
  <si>
    <t>WW2</t>
  </si>
  <si>
    <t>QQ1</t>
  </si>
  <si>
    <t>BSK</t>
  </si>
  <si>
    <t>ZST</t>
  </si>
  <si>
    <t>XLT</t>
  </si>
  <si>
    <t>MTR</t>
  </si>
  <si>
    <t>MNT</t>
  </si>
  <si>
    <t>BBF</t>
  </si>
  <si>
    <t>BFR</t>
  </si>
  <si>
    <t>ZFZ</t>
  </si>
  <si>
    <t>ZIC</t>
  </si>
  <si>
    <t>ZSN</t>
  </si>
  <si>
    <t>XTD</t>
  </si>
  <si>
    <t>XSL</t>
  </si>
  <si>
    <t>OSF</t>
  </si>
  <si>
    <t>ORF</t>
  </si>
  <si>
    <t>WSS</t>
  </si>
  <si>
    <t>WEC</t>
  </si>
  <si>
    <t>WTC</t>
  </si>
  <si>
    <t>QLF</t>
  </si>
  <si>
    <t>QLS</t>
  </si>
  <si>
    <t>QSL</t>
  </si>
  <si>
    <t>QTS</t>
  </si>
  <si>
    <t>QFF</t>
  </si>
  <si>
    <t>QEQ</t>
  </si>
  <si>
    <t>XZ1</t>
  </si>
  <si>
    <t>XX1</t>
  </si>
  <si>
    <t>XHL</t>
  </si>
  <si>
    <t>CRO</t>
  </si>
  <si>
    <t>ICA</t>
  </si>
  <si>
    <t>GNAF</t>
  </si>
  <si>
    <t>GANSW718642848</t>
  </si>
  <si>
    <t>OtherTIV</t>
  </si>
  <si>
    <t>GeogScheme4</t>
  </si>
  <si>
    <t>LocNumber</t>
  </si>
  <si>
    <t>Assumed Occupancy Code</t>
  </si>
  <si>
    <t>LocUserDef1</t>
  </si>
  <si>
    <t>Building, Contents, BI</t>
  </si>
  <si>
    <t>OK, Key error</t>
  </si>
  <si>
    <t>Test all non motor coverages and their combination</t>
  </si>
  <si>
    <t>Assumed Construction Code</t>
  </si>
  <si>
    <t>Test motor vehicle contruction code with all coverages</t>
  </si>
  <si>
    <t>Account Number</t>
  </si>
  <si>
    <t>All coverages</t>
  </si>
  <si>
    <t>NA</t>
  </si>
  <si>
    <t>5000, 5850</t>
  </si>
  <si>
    <t>Test motor construction codes are invalid for building cover</t>
  </si>
  <si>
    <t>Test unsupported Construction codes for motor cover</t>
  </si>
  <si>
    <t>LocUserDef2</t>
  </si>
  <si>
    <t>LocUserDef3</t>
  </si>
  <si>
    <t>Success</t>
  </si>
  <si>
    <t>Fail</t>
  </si>
  <si>
    <t>Total item rows</t>
  </si>
  <si>
    <t>Percentage</t>
  </si>
  <si>
    <t>GeogName4</t>
  </si>
  <si>
    <t>AccUserDef1</t>
  </si>
  <si>
    <t>ConUnknownUnsupportedForMotor</t>
  </si>
  <si>
    <t>Test unsupported  unknown Construction codes for motor cover</t>
  </si>
  <si>
    <t>CoverageMotorNeedConstructionCode</t>
  </si>
  <si>
    <t>LocUserDef4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</si>
</sst>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5">
    <xf numFmtId="0" fontId="0" fillId="0" borderId="0" xfId="0"/>
    <xf numFmtId="0" fontId="1" fillId="0" borderId="0" xfId="0" applyFont="1"/>
    <xf numFmtId="0" fontId="0" fillId="0" borderId="0" xfId="0" applyBorder="1"/>
    <xf numFmtId="0" fontId="0" fillId="0" borderId="0" xfId="0" applyFill="1" applyBorder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2217C-6A5D-4225-B3BD-5594082F5305}">
  <sheetPr codeName="Sheet1"/>
  <dimension ref="A1:O31"/>
  <sheetViews>
    <sheetView topLeftCell="A22" workbookViewId="0">
      <selection activeCell="E34" sqref="E34"/>
    </sheetView>
  </sheetViews>
  <sheetFormatPr defaultRowHeight="14.75" x14ac:dyDescent="0.75"/>
  <cols>
    <col min="1" max="1" width="34.54296875" bestFit="1" customWidth="1"/>
    <col min="2" max="2" width="15.953125" customWidth="1"/>
    <col min="3" max="3" width="10.7265625" bestFit="1" customWidth="1"/>
    <col min="4" max="4" width="11.40625" bestFit="1" customWidth="1"/>
    <col min="5" max="5" width="10.7265625" customWidth="1"/>
    <col min="6" max="6" width="33.1328125" bestFit="1" customWidth="1"/>
    <col min="7" max="7" width="18" bestFit="1" customWidth="1"/>
    <col min="8" max="8" width="14.86328125" bestFit="1" customWidth="1"/>
    <col min="9" max="9" width="24.40625" bestFit="1" customWidth="1"/>
    <col min="10" max="10" width="24.40625" customWidth="1"/>
    <col min="11" max="11" width="10" bestFit="1" customWidth="1"/>
    <col min="12" max="12" width="14.86328125" bestFit="1" customWidth="1"/>
    <col min="13" max="13" width="12.04296875" bestFit="1" customWidth="1"/>
    <col min="14" max="14" width="10.54296875" bestFit="1" customWidth="1"/>
    <col min="15" max="15" width="56.54296875" bestFit="1" customWidth="1"/>
  </cols>
  <sheetData>
    <row r="1" spans="1:15" s="1" customFormat="1" x14ac:dyDescent="0.75">
      <c r="A1" s="1" t="s">
        <v>0</v>
      </c>
      <c r="B1" s="1" t="s">
        <v>133</v>
      </c>
      <c r="C1" s="1" t="s">
        <v>2</v>
      </c>
      <c r="D1" s="1" t="s">
        <v>11</v>
      </c>
      <c r="E1" s="1" t="s">
        <v>12</v>
      </c>
      <c r="F1" s="1" t="s">
        <v>23</v>
      </c>
      <c r="G1" s="1" t="s">
        <v>5</v>
      </c>
      <c r="H1" s="1" t="s">
        <v>31</v>
      </c>
      <c r="I1" s="1" t="s">
        <v>126</v>
      </c>
      <c r="J1" s="1" t="s">
        <v>131</v>
      </c>
      <c r="K1" s="1" t="s">
        <v>14</v>
      </c>
      <c r="L1" s="1" t="s">
        <v>33</v>
      </c>
      <c r="M1" s="1" t="s">
        <v>17</v>
      </c>
      <c r="N1" s="1" t="s">
        <v>52</v>
      </c>
      <c r="O1" s="1" t="s">
        <v>35</v>
      </c>
    </row>
    <row r="2" spans="1:15" x14ac:dyDescent="0.75">
      <c r="A2" t="s">
        <v>1</v>
      </c>
      <c r="B2">
        <v>1</v>
      </c>
      <c r="C2">
        <f>2*2*2-1</f>
        <v>7</v>
      </c>
      <c r="F2" t="s">
        <v>128</v>
      </c>
      <c r="G2">
        <v>2000</v>
      </c>
      <c r="I2">
        <v>1100</v>
      </c>
      <c r="K2" t="s">
        <v>15</v>
      </c>
      <c r="L2">
        <f t="shared" ref="L2:L27" si="0">IF(K2="Yes",C2,0)</f>
        <v>7</v>
      </c>
      <c r="M2" t="s">
        <v>19</v>
      </c>
      <c r="N2" t="s">
        <v>15</v>
      </c>
      <c r="O2" t="s">
        <v>130</v>
      </c>
    </row>
    <row r="3" spans="1:15" x14ac:dyDescent="0.75">
      <c r="A3" t="s">
        <v>149</v>
      </c>
      <c r="B3">
        <v>2</v>
      </c>
      <c r="C3">
        <v>4</v>
      </c>
      <c r="F3" t="s">
        <v>134</v>
      </c>
      <c r="G3">
        <v>2000</v>
      </c>
      <c r="I3">
        <v>1100</v>
      </c>
      <c r="J3">
        <v>5850</v>
      </c>
      <c r="K3" t="s">
        <v>15</v>
      </c>
      <c r="L3">
        <f t="shared" si="0"/>
        <v>4</v>
      </c>
      <c r="M3" t="s">
        <v>129</v>
      </c>
      <c r="O3" t="s">
        <v>132</v>
      </c>
    </row>
    <row r="4" spans="1:15" x14ac:dyDescent="0.75">
      <c r="A4" t="s">
        <v>3</v>
      </c>
      <c r="B4">
        <v>3</v>
      </c>
      <c r="C4">
        <f>2*2-1</f>
        <v>3</v>
      </c>
      <c r="F4" t="s">
        <v>83</v>
      </c>
      <c r="H4" t="s">
        <v>6</v>
      </c>
      <c r="I4">
        <v>1100</v>
      </c>
      <c r="K4" t="s">
        <v>15</v>
      </c>
      <c r="L4">
        <f t="shared" si="0"/>
        <v>3</v>
      </c>
      <c r="M4" t="s">
        <v>19</v>
      </c>
      <c r="O4" t="s">
        <v>36</v>
      </c>
    </row>
    <row r="5" spans="1:15" x14ac:dyDescent="0.75">
      <c r="A5" t="s">
        <v>22</v>
      </c>
      <c r="B5">
        <v>4</v>
      </c>
      <c r="C5">
        <f>2*2*2*2-1</f>
        <v>15</v>
      </c>
      <c r="F5" t="s">
        <v>49</v>
      </c>
      <c r="H5" t="s">
        <v>6</v>
      </c>
      <c r="I5">
        <v>1100</v>
      </c>
      <c r="K5" t="s">
        <v>15</v>
      </c>
      <c r="L5">
        <f t="shared" si="0"/>
        <v>15</v>
      </c>
      <c r="M5" t="s">
        <v>19</v>
      </c>
      <c r="O5" t="s">
        <v>37</v>
      </c>
    </row>
    <row r="6" spans="1:15" x14ac:dyDescent="0.75">
      <c r="A6" t="s">
        <v>84</v>
      </c>
      <c r="B6">
        <v>5</v>
      </c>
      <c r="C6">
        <v>2</v>
      </c>
      <c r="F6" t="s">
        <v>50</v>
      </c>
      <c r="G6">
        <v>2068</v>
      </c>
      <c r="H6" t="s">
        <v>6</v>
      </c>
      <c r="I6">
        <v>1100</v>
      </c>
      <c r="K6" t="s">
        <v>15</v>
      </c>
      <c r="L6">
        <f t="shared" si="0"/>
        <v>2</v>
      </c>
      <c r="M6" t="s">
        <v>19</v>
      </c>
      <c r="O6" t="s">
        <v>38</v>
      </c>
    </row>
    <row r="7" spans="1:15" x14ac:dyDescent="0.75">
      <c r="A7" t="s">
        <v>53</v>
      </c>
      <c r="B7">
        <v>6</v>
      </c>
      <c r="C7">
        <v>4</v>
      </c>
      <c r="F7" t="s">
        <v>54</v>
      </c>
      <c r="G7">
        <v>2000</v>
      </c>
      <c r="H7" t="s">
        <v>6</v>
      </c>
      <c r="I7">
        <v>1100</v>
      </c>
      <c r="K7" t="s">
        <v>15</v>
      </c>
      <c r="L7">
        <f t="shared" si="0"/>
        <v>4</v>
      </c>
      <c r="M7" t="s">
        <v>19</v>
      </c>
      <c r="O7" t="s">
        <v>57</v>
      </c>
    </row>
    <row r="8" spans="1:15" x14ac:dyDescent="0.75">
      <c r="A8" t="s">
        <v>55</v>
      </c>
      <c r="B8">
        <v>7</v>
      </c>
      <c r="C8">
        <v>30</v>
      </c>
      <c r="F8" t="s">
        <v>56</v>
      </c>
      <c r="G8">
        <v>2000</v>
      </c>
      <c r="H8" t="s">
        <v>6</v>
      </c>
      <c r="I8">
        <v>1100</v>
      </c>
      <c r="K8" t="s">
        <v>15</v>
      </c>
      <c r="L8">
        <f t="shared" si="0"/>
        <v>30</v>
      </c>
      <c r="M8" t="s">
        <v>21</v>
      </c>
      <c r="O8" t="s">
        <v>58</v>
      </c>
    </row>
    <row r="9" spans="1:15" x14ac:dyDescent="0.75">
      <c r="A9" t="s">
        <v>4</v>
      </c>
      <c r="B9">
        <v>8</v>
      </c>
      <c r="C9">
        <v>7</v>
      </c>
      <c r="F9" t="s">
        <v>51</v>
      </c>
      <c r="G9">
        <v>2000</v>
      </c>
      <c r="H9" t="s">
        <v>24</v>
      </c>
      <c r="I9">
        <v>1100</v>
      </c>
      <c r="K9" t="s">
        <v>15</v>
      </c>
      <c r="L9">
        <f t="shared" si="0"/>
        <v>7</v>
      </c>
      <c r="M9" t="s">
        <v>19</v>
      </c>
      <c r="O9" t="s">
        <v>39</v>
      </c>
    </row>
    <row r="10" spans="1:15" x14ac:dyDescent="0.75">
      <c r="A10" t="s">
        <v>7</v>
      </c>
      <c r="B10">
        <v>9</v>
      </c>
      <c r="C10">
        <f>E10-D10+1</f>
        <v>50</v>
      </c>
      <c r="D10">
        <v>1050</v>
      </c>
      <c r="E10">
        <v>1099</v>
      </c>
      <c r="G10">
        <v>2000</v>
      </c>
      <c r="H10" t="s">
        <v>6</v>
      </c>
      <c r="K10" t="s">
        <v>15</v>
      </c>
      <c r="L10">
        <f t="shared" si="0"/>
        <v>50</v>
      </c>
      <c r="M10" t="s">
        <v>19</v>
      </c>
      <c r="O10" t="s">
        <v>41</v>
      </c>
    </row>
    <row r="11" spans="1:15" x14ac:dyDescent="0.75">
      <c r="A11" t="s">
        <v>8</v>
      </c>
      <c r="B11">
        <v>10</v>
      </c>
      <c r="C11">
        <f t="shared" ref="C11:C18" si="1">E11-D11+1</f>
        <v>50</v>
      </c>
      <c r="D11">
        <v>1100</v>
      </c>
      <c r="E11">
        <v>1149</v>
      </c>
      <c r="G11">
        <v>2000</v>
      </c>
      <c r="H11" t="s">
        <v>6</v>
      </c>
      <c r="K11" t="s">
        <v>15</v>
      </c>
      <c r="L11">
        <f t="shared" si="0"/>
        <v>50</v>
      </c>
      <c r="M11" t="s">
        <v>19</v>
      </c>
      <c r="O11" t="s">
        <v>46</v>
      </c>
    </row>
    <row r="12" spans="1:15" x14ac:dyDescent="0.75">
      <c r="A12" t="s">
        <v>9</v>
      </c>
      <c r="B12">
        <v>11</v>
      </c>
      <c r="C12">
        <f>E12-D12+1</f>
        <v>50</v>
      </c>
      <c r="D12">
        <v>1150</v>
      </c>
      <c r="E12">
        <v>1199</v>
      </c>
      <c r="G12">
        <v>2000</v>
      </c>
      <c r="H12" t="s">
        <v>6</v>
      </c>
      <c r="K12" t="s">
        <v>15</v>
      </c>
      <c r="L12">
        <f t="shared" si="0"/>
        <v>50</v>
      </c>
      <c r="M12" t="s">
        <v>19</v>
      </c>
      <c r="O12" t="s">
        <v>42</v>
      </c>
    </row>
    <row r="13" spans="1:15" x14ac:dyDescent="0.75">
      <c r="A13" t="s">
        <v>8</v>
      </c>
      <c r="B13">
        <v>12</v>
      </c>
      <c r="C13">
        <f>E13-D13+1</f>
        <v>50</v>
      </c>
      <c r="D13">
        <v>1200</v>
      </c>
      <c r="E13">
        <v>1249</v>
      </c>
      <c r="G13">
        <v>2000</v>
      </c>
      <c r="H13" t="s">
        <v>6</v>
      </c>
      <c r="K13" t="s">
        <v>15</v>
      </c>
      <c r="L13">
        <f t="shared" si="0"/>
        <v>50</v>
      </c>
      <c r="M13" t="s">
        <v>19</v>
      </c>
      <c r="O13" t="s">
        <v>40</v>
      </c>
    </row>
    <row r="14" spans="1:15" x14ac:dyDescent="0.75">
      <c r="A14" t="s">
        <v>18</v>
      </c>
      <c r="B14">
        <v>13</v>
      </c>
      <c r="C14">
        <v>1</v>
      </c>
      <c r="F14">
        <v>1000</v>
      </c>
      <c r="G14">
        <v>2000</v>
      </c>
      <c r="H14" t="s">
        <v>6</v>
      </c>
      <c r="K14" t="s">
        <v>15</v>
      </c>
      <c r="L14">
        <f t="shared" si="0"/>
        <v>1</v>
      </c>
      <c r="M14" t="s">
        <v>19</v>
      </c>
      <c r="O14" t="s">
        <v>43</v>
      </c>
    </row>
    <row r="15" spans="1:15" x14ac:dyDescent="0.75">
      <c r="A15" t="s">
        <v>13</v>
      </c>
      <c r="B15">
        <v>14</v>
      </c>
      <c r="C15">
        <f t="shared" si="1"/>
        <v>49</v>
      </c>
      <c r="D15">
        <v>1001</v>
      </c>
      <c r="E15">
        <v>1049</v>
      </c>
      <c r="G15">
        <v>2000</v>
      </c>
      <c r="H15" t="s">
        <v>6</v>
      </c>
      <c r="K15" t="s">
        <v>15</v>
      </c>
      <c r="L15">
        <f t="shared" si="0"/>
        <v>49</v>
      </c>
      <c r="M15" t="s">
        <v>21</v>
      </c>
      <c r="O15" t="s">
        <v>44</v>
      </c>
    </row>
    <row r="16" spans="1:15" x14ac:dyDescent="0.75">
      <c r="A16" t="s">
        <v>10</v>
      </c>
      <c r="B16">
        <v>15</v>
      </c>
      <c r="C16">
        <v>4</v>
      </c>
      <c r="F16" t="s">
        <v>34</v>
      </c>
      <c r="G16">
        <v>2000</v>
      </c>
      <c r="H16" t="s">
        <v>6</v>
      </c>
      <c r="K16" t="s">
        <v>15</v>
      </c>
      <c r="L16">
        <f t="shared" si="0"/>
        <v>4</v>
      </c>
      <c r="M16" t="s">
        <v>21</v>
      </c>
      <c r="O16" t="s">
        <v>45</v>
      </c>
    </row>
    <row r="17" spans="1:15" x14ac:dyDescent="0.75">
      <c r="A17" t="s">
        <v>10</v>
      </c>
      <c r="B17" t="s">
        <v>135</v>
      </c>
      <c r="C17">
        <f t="shared" si="1"/>
        <v>150</v>
      </c>
      <c r="D17">
        <v>1250</v>
      </c>
      <c r="E17">
        <v>1399</v>
      </c>
      <c r="G17">
        <v>2000</v>
      </c>
      <c r="H17" t="s">
        <v>6</v>
      </c>
      <c r="K17" t="s">
        <v>16</v>
      </c>
      <c r="L17">
        <f t="shared" si="0"/>
        <v>0</v>
      </c>
      <c r="M17" t="s">
        <v>21</v>
      </c>
      <c r="O17" t="s">
        <v>47</v>
      </c>
    </row>
    <row r="18" spans="1:15" x14ac:dyDescent="0.75">
      <c r="A18" t="s">
        <v>10</v>
      </c>
      <c r="B18" t="s">
        <v>135</v>
      </c>
      <c r="C18">
        <f t="shared" si="1"/>
        <v>1</v>
      </c>
      <c r="D18">
        <v>2000</v>
      </c>
      <c r="E18">
        <v>2000</v>
      </c>
      <c r="G18">
        <v>2000</v>
      </c>
      <c r="H18" t="s">
        <v>6</v>
      </c>
      <c r="K18" t="s">
        <v>16</v>
      </c>
      <c r="L18">
        <f t="shared" si="0"/>
        <v>0</v>
      </c>
      <c r="M18" t="s">
        <v>21</v>
      </c>
      <c r="O18" t="s">
        <v>47</v>
      </c>
    </row>
    <row r="19" spans="1:15" x14ac:dyDescent="0.75">
      <c r="A19" t="s">
        <v>10</v>
      </c>
      <c r="B19" t="s">
        <v>135</v>
      </c>
      <c r="C19">
        <f t="shared" ref="C19:C20" si="2">E19-D19+1</f>
        <v>750</v>
      </c>
      <c r="D19">
        <v>2050</v>
      </c>
      <c r="E19">
        <v>2799</v>
      </c>
      <c r="G19">
        <v>2000</v>
      </c>
      <c r="H19" t="s">
        <v>6</v>
      </c>
      <c r="K19" t="s">
        <v>16</v>
      </c>
      <c r="L19">
        <f t="shared" si="0"/>
        <v>0</v>
      </c>
      <c r="M19" t="s">
        <v>21</v>
      </c>
      <c r="O19" t="s">
        <v>47</v>
      </c>
    </row>
    <row r="20" spans="1:15" x14ac:dyDescent="0.75">
      <c r="A20" t="s">
        <v>10</v>
      </c>
      <c r="B20" t="s">
        <v>135</v>
      </c>
      <c r="C20">
        <f t="shared" si="2"/>
        <v>1000</v>
      </c>
      <c r="D20">
        <v>3000</v>
      </c>
      <c r="E20">
        <v>3999</v>
      </c>
      <c r="G20">
        <v>2000</v>
      </c>
      <c r="H20" t="s">
        <v>6</v>
      </c>
      <c r="I20">
        <v>1100</v>
      </c>
      <c r="K20" t="s">
        <v>16</v>
      </c>
      <c r="L20">
        <f t="shared" si="0"/>
        <v>0</v>
      </c>
      <c r="M20" t="s">
        <v>21</v>
      </c>
      <c r="O20" t="s">
        <v>47</v>
      </c>
    </row>
    <row r="21" spans="1:15" x14ac:dyDescent="0.75">
      <c r="A21" t="s">
        <v>20</v>
      </c>
      <c r="B21">
        <v>16</v>
      </c>
      <c r="C21">
        <f>E21-D21+1</f>
        <v>100</v>
      </c>
      <c r="D21">
        <v>5850</v>
      </c>
      <c r="E21">
        <v>5949</v>
      </c>
      <c r="G21">
        <v>2000</v>
      </c>
      <c r="H21" t="s">
        <v>24</v>
      </c>
      <c r="I21">
        <v>1100</v>
      </c>
      <c r="K21" t="s">
        <v>15</v>
      </c>
      <c r="L21">
        <f t="shared" si="0"/>
        <v>100</v>
      </c>
      <c r="M21" t="s">
        <v>19</v>
      </c>
      <c r="O21" t="s">
        <v>48</v>
      </c>
    </row>
    <row r="22" spans="1:15" x14ac:dyDescent="0.75">
      <c r="A22" t="s">
        <v>26</v>
      </c>
      <c r="B22">
        <v>17</v>
      </c>
      <c r="C22">
        <v>2</v>
      </c>
      <c r="F22" t="s">
        <v>136</v>
      </c>
      <c r="G22">
        <v>2000</v>
      </c>
      <c r="H22" t="s">
        <v>6</v>
      </c>
      <c r="I22">
        <v>1100</v>
      </c>
      <c r="K22" t="s">
        <v>15</v>
      </c>
      <c r="L22">
        <f t="shared" si="0"/>
        <v>2</v>
      </c>
      <c r="M22" t="s">
        <v>19</v>
      </c>
      <c r="O22" t="s">
        <v>137</v>
      </c>
    </row>
    <row r="23" spans="1:15" x14ac:dyDescent="0.75">
      <c r="A23" t="s">
        <v>29</v>
      </c>
      <c r="B23">
        <v>18</v>
      </c>
      <c r="C23">
        <v>2</v>
      </c>
      <c r="F23" t="s">
        <v>136</v>
      </c>
      <c r="G23">
        <v>2000</v>
      </c>
      <c r="H23" t="s">
        <v>27</v>
      </c>
      <c r="I23">
        <v>1100</v>
      </c>
      <c r="K23" t="s">
        <v>15</v>
      </c>
      <c r="L23">
        <f t="shared" si="0"/>
        <v>2</v>
      </c>
      <c r="M23" t="s">
        <v>19</v>
      </c>
      <c r="O23" t="s">
        <v>137</v>
      </c>
    </row>
    <row r="24" spans="1:15" x14ac:dyDescent="0.75">
      <c r="A24" t="s">
        <v>30</v>
      </c>
      <c r="B24">
        <v>19</v>
      </c>
      <c r="C24">
        <v>2</v>
      </c>
      <c r="F24" t="s">
        <v>136</v>
      </c>
      <c r="G24">
        <v>2000</v>
      </c>
      <c r="H24" t="s">
        <v>28</v>
      </c>
      <c r="I24">
        <v>1100</v>
      </c>
      <c r="K24" t="s">
        <v>15</v>
      </c>
      <c r="L24">
        <f t="shared" si="0"/>
        <v>2</v>
      </c>
      <c r="M24" t="s">
        <v>19</v>
      </c>
      <c r="O24" t="s">
        <v>137</v>
      </c>
    </row>
    <row r="25" spans="1:15" x14ac:dyDescent="0.75">
      <c r="A25" t="s">
        <v>147</v>
      </c>
      <c r="B25">
        <v>20</v>
      </c>
      <c r="C25">
        <v>1</v>
      </c>
      <c r="F25">
        <v>5000</v>
      </c>
      <c r="G25">
        <v>2000</v>
      </c>
      <c r="H25" t="s">
        <v>24</v>
      </c>
      <c r="I25">
        <v>1100</v>
      </c>
      <c r="K25" t="s">
        <v>15</v>
      </c>
      <c r="L25">
        <f t="shared" si="0"/>
        <v>1</v>
      </c>
      <c r="M25" t="s">
        <v>21</v>
      </c>
      <c r="O25" t="s">
        <v>148</v>
      </c>
    </row>
    <row r="26" spans="1:15" x14ac:dyDescent="0.75">
      <c r="A26" t="s">
        <v>25</v>
      </c>
      <c r="B26">
        <v>21</v>
      </c>
      <c r="C26">
        <f>E26-D26+1</f>
        <v>800</v>
      </c>
      <c r="D26">
        <v>5050</v>
      </c>
      <c r="E26">
        <v>5849</v>
      </c>
      <c r="G26">
        <v>2000</v>
      </c>
      <c r="H26" t="s">
        <v>24</v>
      </c>
      <c r="I26">
        <v>1100</v>
      </c>
      <c r="K26" t="s">
        <v>16</v>
      </c>
      <c r="L26">
        <f t="shared" si="0"/>
        <v>0</v>
      </c>
      <c r="M26" t="s">
        <v>21</v>
      </c>
      <c r="O26" t="s">
        <v>138</v>
      </c>
    </row>
    <row r="27" spans="1:15" x14ac:dyDescent="0.75">
      <c r="A27" t="s">
        <v>25</v>
      </c>
      <c r="B27">
        <v>22</v>
      </c>
      <c r="C27">
        <f>E27-D27+1</f>
        <v>2050</v>
      </c>
      <c r="D27">
        <v>5950</v>
      </c>
      <c r="E27">
        <v>7999</v>
      </c>
      <c r="G27">
        <v>2000</v>
      </c>
      <c r="H27" t="s">
        <v>24</v>
      </c>
      <c r="I27">
        <v>1100</v>
      </c>
      <c r="K27" t="s">
        <v>16</v>
      </c>
      <c r="L27">
        <f t="shared" si="0"/>
        <v>0</v>
      </c>
      <c r="M27" t="s">
        <v>21</v>
      </c>
      <c r="O27" t="s">
        <v>138</v>
      </c>
    </row>
    <row r="28" spans="1:15" s="1" customFormat="1" x14ac:dyDescent="0.75">
      <c r="A28" s="1" t="s">
        <v>32</v>
      </c>
      <c r="C28" s="1">
        <f>SUM(C2:C27)</f>
        <v>5184</v>
      </c>
      <c r="L28" s="1">
        <f>SUM(L2:L27)</f>
        <v>433</v>
      </c>
    </row>
    <row r="30" spans="1:15" x14ac:dyDescent="0.75">
      <c r="B30" t="s">
        <v>143</v>
      </c>
      <c r="C30" t="s">
        <v>141</v>
      </c>
      <c r="D30" t="s">
        <v>142</v>
      </c>
      <c r="E30" t="s">
        <v>144</v>
      </c>
    </row>
    <row r="31" spans="1:15" x14ac:dyDescent="0.75">
      <c r="A31" t="s">
        <v>14</v>
      </c>
      <c r="B31">
        <f>SUM(location_small!Z2:Z434)</f>
        <v>438</v>
      </c>
      <c r="C31">
        <f>SUM(location_small!AA2:AA434)</f>
        <v>350</v>
      </c>
      <c r="D31">
        <f>B31-C31</f>
        <v>88</v>
      </c>
      <c r="E31" s="4">
        <f>D31/B31</f>
        <v>0.20091324200913241</v>
      </c>
    </row>
  </sheetData>
  <phoneticPr fontId="2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3B1A6-E095-43EA-BAE9-CB167F5CA398}">
  <sheetPr codeName="Sheet2"/>
  <dimension ref="A1:G21"/>
  <sheetViews>
    <sheetView workbookViewId="0">
      <selection activeCell="C22" sqref="C22"/>
    </sheetView>
  </sheetViews>
  <sheetFormatPr defaultRowHeight="14.75" x14ac:dyDescent="0.75"/>
  <cols>
    <col min="1" max="1" width="12" bestFit="1" customWidth="1"/>
    <col min="2" max="2" width="11.26953125" bestFit="1" customWidth="1"/>
    <col min="3" max="3" width="31.81640625" bestFit="1" customWidth="1"/>
    <col min="5" max="5" width="11.1328125" bestFit="1" customWidth="1"/>
    <col min="6" max="6" width="16.40625" bestFit="1" customWidth="1"/>
  </cols>
  <sheetData>
    <row r="1" spans="1:7" x14ac:dyDescent="0.75">
      <c r="A1" t="s">
        <v>66</v>
      </c>
      <c r="B1" t="s">
        <v>65</v>
      </c>
      <c r="C1" t="s">
        <v>64</v>
      </c>
      <c r="D1" t="s">
        <v>63</v>
      </c>
      <c r="E1" t="s">
        <v>62</v>
      </c>
      <c r="F1" t="s">
        <v>61</v>
      </c>
      <c r="G1" t="s">
        <v>146</v>
      </c>
    </row>
    <row r="2" spans="1:7" x14ac:dyDescent="0.75">
      <c r="A2">
        <v>1</v>
      </c>
      <c r="B2">
        <v>1</v>
      </c>
      <c r="C2" t="s">
        <v>3</v>
      </c>
      <c r="D2" t="s">
        <v>60</v>
      </c>
      <c r="E2">
        <v>1</v>
      </c>
      <c r="F2" t="s">
        <v>59</v>
      </c>
      <c r="G2" t="s">
        <v>19</v>
      </c>
    </row>
    <row r="3" spans="1:7" x14ac:dyDescent="0.75">
      <c r="A3">
        <v>1</v>
      </c>
      <c r="B3">
        <v>2</v>
      </c>
      <c r="C3" t="s">
        <v>22</v>
      </c>
      <c r="D3" t="s">
        <v>60</v>
      </c>
      <c r="E3">
        <v>2</v>
      </c>
      <c r="F3" t="s">
        <v>59</v>
      </c>
      <c r="G3" t="s">
        <v>19</v>
      </c>
    </row>
    <row r="4" spans="1:7" x14ac:dyDescent="0.75">
      <c r="A4">
        <v>1</v>
      </c>
      <c r="B4">
        <v>3</v>
      </c>
      <c r="C4" t="s">
        <v>84</v>
      </c>
      <c r="D4" t="s">
        <v>60</v>
      </c>
      <c r="E4">
        <v>3</v>
      </c>
      <c r="F4" t="s">
        <v>59</v>
      </c>
      <c r="G4" t="s">
        <v>19</v>
      </c>
    </row>
    <row r="5" spans="1:7" x14ac:dyDescent="0.75">
      <c r="A5">
        <v>1</v>
      </c>
      <c r="B5">
        <v>4</v>
      </c>
      <c r="C5" t="s">
        <v>53</v>
      </c>
      <c r="D5" t="s">
        <v>60</v>
      </c>
      <c r="E5">
        <v>4</v>
      </c>
      <c r="F5" t="s">
        <v>59</v>
      </c>
      <c r="G5" t="s">
        <v>19</v>
      </c>
    </row>
    <row r="6" spans="1:7" x14ac:dyDescent="0.75">
      <c r="A6">
        <v>1</v>
      </c>
      <c r="B6">
        <v>5</v>
      </c>
      <c r="C6" t="s">
        <v>55</v>
      </c>
      <c r="D6" t="s">
        <v>60</v>
      </c>
      <c r="E6">
        <v>5</v>
      </c>
      <c r="F6" t="s">
        <v>59</v>
      </c>
      <c r="G6" t="s">
        <v>19</v>
      </c>
    </row>
    <row r="7" spans="1:7" x14ac:dyDescent="0.75">
      <c r="A7">
        <v>1</v>
      </c>
      <c r="B7">
        <v>6</v>
      </c>
      <c r="C7" t="s">
        <v>4</v>
      </c>
      <c r="D7" t="s">
        <v>60</v>
      </c>
      <c r="E7">
        <v>6</v>
      </c>
      <c r="F7" t="s">
        <v>59</v>
      </c>
      <c r="G7" t="s">
        <v>19</v>
      </c>
    </row>
    <row r="8" spans="1:7" x14ac:dyDescent="0.75">
      <c r="A8">
        <v>1</v>
      </c>
      <c r="B8">
        <v>7</v>
      </c>
      <c r="C8" t="s">
        <v>7</v>
      </c>
      <c r="D8" t="s">
        <v>60</v>
      </c>
      <c r="E8">
        <v>7</v>
      </c>
      <c r="F8" t="s">
        <v>59</v>
      </c>
      <c r="G8" t="s">
        <v>19</v>
      </c>
    </row>
    <row r="9" spans="1:7" x14ac:dyDescent="0.75">
      <c r="A9">
        <v>1</v>
      </c>
      <c r="B9">
        <v>8</v>
      </c>
      <c r="C9" t="s">
        <v>8</v>
      </c>
      <c r="D9" t="s">
        <v>60</v>
      </c>
      <c r="E9">
        <v>8</v>
      </c>
      <c r="F9" t="s">
        <v>59</v>
      </c>
      <c r="G9" t="s">
        <v>19</v>
      </c>
    </row>
    <row r="10" spans="1:7" x14ac:dyDescent="0.75">
      <c r="A10">
        <v>1</v>
      </c>
      <c r="B10">
        <v>9</v>
      </c>
      <c r="C10" t="s">
        <v>9</v>
      </c>
      <c r="D10" t="s">
        <v>60</v>
      </c>
      <c r="E10">
        <v>9</v>
      </c>
      <c r="F10" t="s">
        <v>59</v>
      </c>
      <c r="G10" t="s">
        <v>19</v>
      </c>
    </row>
    <row r="11" spans="1:7" x14ac:dyDescent="0.75">
      <c r="A11">
        <v>1</v>
      </c>
      <c r="B11">
        <v>10</v>
      </c>
      <c r="C11" t="s">
        <v>8</v>
      </c>
      <c r="D11" t="s">
        <v>60</v>
      </c>
      <c r="E11">
        <v>10</v>
      </c>
      <c r="F11" t="s">
        <v>59</v>
      </c>
      <c r="G11" t="s">
        <v>19</v>
      </c>
    </row>
    <row r="12" spans="1:7" x14ac:dyDescent="0.75">
      <c r="A12">
        <v>1</v>
      </c>
      <c r="B12">
        <v>11</v>
      </c>
      <c r="C12" t="s">
        <v>18</v>
      </c>
      <c r="D12" t="s">
        <v>60</v>
      </c>
      <c r="E12">
        <v>11</v>
      </c>
      <c r="F12" t="s">
        <v>59</v>
      </c>
      <c r="G12" t="s">
        <v>19</v>
      </c>
    </row>
    <row r="13" spans="1:7" x14ac:dyDescent="0.75">
      <c r="A13">
        <v>1</v>
      </c>
      <c r="B13">
        <v>12</v>
      </c>
      <c r="C13" t="s">
        <v>13</v>
      </c>
      <c r="D13" t="s">
        <v>60</v>
      </c>
      <c r="E13">
        <v>12</v>
      </c>
      <c r="F13" t="s">
        <v>59</v>
      </c>
      <c r="G13" t="s">
        <v>19</v>
      </c>
    </row>
    <row r="14" spans="1:7" x14ac:dyDescent="0.75">
      <c r="A14">
        <v>1</v>
      </c>
      <c r="B14">
        <v>13</v>
      </c>
      <c r="C14" t="s">
        <v>10</v>
      </c>
      <c r="D14" t="s">
        <v>60</v>
      </c>
      <c r="E14">
        <v>13</v>
      </c>
      <c r="F14" t="s">
        <v>59</v>
      </c>
      <c r="G14" t="s">
        <v>19</v>
      </c>
    </row>
    <row r="15" spans="1:7" x14ac:dyDescent="0.75">
      <c r="A15">
        <v>1</v>
      </c>
      <c r="B15">
        <v>14</v>
      </c>
      <c r="C15" t="s">
        <v>20</v>
      </c>
      <c r="D15" t="s">
        <v>60</v>
      </c>
      <c r="E15">
        <v>14</v>
      </c>
      <c r="F15" t="s">
        <v>59</v>
      </c>
      <c r="G15" t="s">
        <v>19</v>
      </c>
    </row>
    <row r="16" spans="1:7" x14ac:dyDescent="0.75">
      <c r="A16">
        <v>1</v>
      </c>
      <c r="B16">
        <v>15</v>
      </c>
      <c r="C16" t="s">
        <v>26</v>
      </c>
      <c r="D16" t="s">
        <v>60</v>
      </c>
      <c r="E16">
        <v>15</v>
      </c>
      <c r="F16" t="s">
        <v>59</v>
      </c>
      <c r="G16" t="s">
        <v>19</v>
      </c>
    </row>
    <row r="17" spans="1:7" x14ac:dyDescent="0.75">
      <c r="A17">
        <v>1</v>
      </c>
      <c r="B17">
        <v>16</v>
      </c>
      <c r="C17" t="s">
        <v>29</v>
      </c>
      <c r="D17" t="s">
        <v>60</v>
      </c>
      <c r="E17">
        <v>16</v>
      </c>
      <c r="F17" t="s">
        <v>59</v>
      </c>
      <c r="G17" t="s">
        <v>19</v>
      </c>
    </row>
    <row r="18" spans="1:7" x14ac:dyDescent="0.75">
      <c r="A18">
        <v>1</v>
      </c>
      <c r="B18">
        <v>17</v>
      </c>
      <c r="C18" t="s">
        <v>30</v>
      </c>
      <c r="D18" t="s">
        <v>60</v>
      </c>
      <c r="E18">
        <v>17</v>
      </c>
      <c r="F18" t="s">
        <v>59</v>
      </c>
      <c r="G18" t="s">
        <v>19</v>
      </c>
    </row>
    <row r="19" spans="1:7" x14ac:dyDescent="0.75">
      <c r="A19">
        <v>1</v>
      </c>
      <c r="B19">
        <v>18</v>
      </c>
      <c r="C19" t="s">
        <v>147</v>
      </c>
      <c r="D19" t="s">
        <v>60</v>
      </c>
      <c r="E19">
        <v>18</v>
      </c>
      <c r="F19" t="s">
        <v>59</v>
      </c>
      <c r="G19" t="s">
        <v>19</v>
      </c>
    </row>
    <row r="20" spans="1:7" x14ac:dyDescent="0.75">
      <c r="A20">
        <v>1</v>
      </c>
      <c r="B20">
        <v>19</v>
      </c>
      <c r="C20" t="s">
        <v>1</v>
      </c>
      <c r="D20" t="s">
        <v>60</v>
      </c>
      <c r="E20">
        <v>19</v>
      </c>
      <c r="F20" t="s">
        <v>59</v>
      </c>
      <c r="G20" t="s">
        <v>19</v>
      </c>
    </row>
    <row r="21" spans="1:7" x14ac:dyDescent="0.75">
      <c r="A21">
        <v>1</v>
      </c>
      <c r="B21">
        <v>20</v>
      </c>
      <c r="C21" t="s">
        <v>149</v>
      </c>
      <c r="D21" t="s">
        <v>60</v>
      </c>
      <c r="E21">
        <v>20</v>
      </c>
      <c r="F21" t="s">
        <v>59</v>
      </c>
      <c r="G21" t="s">
        <v>19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6396F-CC3C-44E0-9702-730FBFCD457D}">
  <sheetPr codeName="Sheet3"/>
  <dimension ref="A1:AB434"/>
  <sheetViews>
    <sheetView tabSelected="1" topLeftCell="M1" workbookViewId="0">
      <pane ySplit="1" topLeftCell="A407" activePane="bottomLeft" state="frozen"/>
      <selection pane="bottomLeft" activeCell="AB434" sqref="AB434"/>
    </sheetView>
  </sheetViews>
  <sheetFormatPr defaultRowHeight="14.75" x14ac:dyDescent="0.75"/>
  <cols>
    <col min="1" max="1" width="12" style="2" bestFit="1" customWidth="1"/>
    <col min="2" max="2" width="13" style="2" bestFit="1" customWidth="1"/>
    <col min="3" max="3" width="12.86328125" style="2" bestFit="1" customWidth="1"/>
    <col min="4" max="4" width="14.2265625" style="2" bestFit="1" customWidth="1"/>
    <col min="5" max="5" width="10.1328125" style="2" bestFit="1" customWidth="1"/>
    <col min="6" max="6" width="11.6328125" style="2" bestFit="1" customWidth="1"/>
    <col min="7" max="7" width="12.7265625" style="2" bestFit="1" customWidth="1"/>
    <col min="8" max="8" width="15.31640625" style="2" bestFit="1" customWidth="1"/>
    <col min="9" max="9" width="16.1328125" style="2" bestFit="1" customWidth="1"/>
    <col min="10" max="10" width="15.31640625" style="2" bestFit="1" customWidth="1"/>
    <col min="11" max="11" width="13.54296875" style="2" bestFit="1" customWidth="1"/>
    <col min="12" max="12" width="15.31640625" style="2" bestFit="1" customWidth="1"/>
    <col min="13" max="13" width="13.54296875" style="2" bestFit="1" customWidth="1"/>
    <col min="14" max="14" width="15.31640625" style="2" bestFit="1" customWidth="1"/>
    <col min="15" max="15" width="13.54296875" style="2" bestFit="1" customWidth="1"/>
    <col min="16" max="16" width="16.6796875" style="2" bestFit="1" customWidth="1"/>
    <col min="17" max="17" width="18.453125" style="2" bestFit="1" customWidth="1"/>
    <col min="18" max="18" width="10.81640625" style="2" bestFit="1" customWidth="1"/>
    <col min="19" max="19" width="17.90625" style="2" bestFit="1" customWidth="1"/>
    <col min="20" max="20" width="12.86328125" style="2" bestFit="1" customWidth="1"/>
    <col min="21" max="21" width="13.54296875" style="2" bestFit="1" customWidth="1"/>
    <col min="22" max="22" width="8" style="2" bestFit="1" customWidth="1"/>
    <col min="23" max="23" width="10.81640625" style="2" bestFit="1" customWidth="1"/>
    <col min="24" max="24" width="13.40625" style="2" bestFit="1" customWidth="1"/>
    <col min="25" max="27" width="13.6796875" style="2" bestFit="1" customWidth="1"/>
    <col min="28" max="16384" width="8.7265625" style="2"/>
  </cols>
  <sheetData>
    <row r="1" spans="1:28" x14ac:dyDescent="0.75">
      <c r="A1" s="2" t="s">
        <v>66</v>
      </c>
      <c r="B1" s="2" t="s">
        <v>65</v>
      </c>
      <c r="C1" s="2" t="s">
        <v>125</v>
      </c>
      <c r="D1" s="2" t="s">
        <v>82</v>
      </c>
      <c r="E1" s="2" t="s">
        <v>81</v>
      </c>
      <c r="F1" s="2" t="s">
        <v>80</v>
      </c>
      <c r="G1" s="2" t="s">
        <v>79</v>
      </c>
      <c r="H1" s="2" t="s">
        <v>78</v>
      </c>
      <c r="I1" s="2" t="s">
        <v>77</v>
      </c>
      <c r="J1" s="2" t="s">
        <v>76</v>
      </c>
      <c r="K1" s="2" t="s">
        <v>75</v>
      </c>
      <c r="L1" s="2" t="s">
        <v>74</v>
      </c>
      <c r="M1" s="2" t="s">
        <v>73</v>
      </c>
      <c r="N1" s="2" t="s">
        <v>124</v>
      </c>
      <c r="O1" s="2" t="s">
        <v>145</v>
      </c>
      <c r="P1" s="2" t="s">
        <v>72</v>
      </c>
      <c r="Q1" s="2" t="s">
        <v>71</v>
      </c>
      <c r="R1" s="3" t="s">
        <v>4</v>
      </c>
      <c r="S1" s="2" t="s">
        <v>53</v>
      </c>
      <c r="T1" s="2" t="s">
        <v>70</v>
      </c>
      <c r="U1" s="2" t="s">
        <v>69</v>
      </c>
      <c r="V1" s="2" t="s">
        <v>68</v>
      </c>
      <c r="W1" s="2" t="s">
        <v>123</v>
      </c>
      <c r="X1" s="2" t="s">
        <v>67</v>
      </c>
      <c r="Y1" s="3" t="s">
        <v>127</v>
      </c>
      <c r="Z1" s="3" t="s">
        <v>139</v>
      </c>
      <c r="AA1" s="3" t="s">
        <v>140</v>
      </c>
      <c r="AB1" s="3" t="s">
        <v>150</v>
      </c>
    </row>
    <row r="2" spans="1:28" x14ac:dyDescent="0.75">
      <c r="A2" s="2">
        <v>1</v>
      </c>
      <c r="B2" s="2">
        <v>1</v>
      </c>
      <c r="C2" s="2">
        <v>1</v>
      </c>
      <c r="D2" s="2" t="s">
        <v>86</v>
      </c>
      <c r="E2" s="2">
        <v>-33.8568</v>
      </c>
      <c r="F2" s="2">
        <v>151.21530000000001</v>
      </c>
      <c r="P2" s="2">
        <v>1100</v>
      </c>
      <c r="S2" s="2" t="s">
        <v>118</v>
      </c>
      <c r="T2" s="2">
        <v>1000000</v>
      </c>
      <c r="X2" s="2" t="s">
        <v>60</v>
      </c>
      <c r="Y2" s="2" t="s">
        <v>19</v>
      </c>
      <c r="Z2" s="2">
        <f t="shared" ref="Z2:Z55" si="0">IF(T2&gt;0,1,0)+IF(U2&gt;0,1,0)+IF(V2&gt;0,1,0)+IF(W2&gt;0,1,0)</f>
        <v>1</v>
      </c>
      <c r="AA2" s="2">
        <f t="shared" ref="AA2:AA55" si="1">IF(Y2="OK",Z2,0)</f>
        <v>1</v>
      </c>
      <c r="AB2" s="2">
        <v>1</v>
      </c>
    </row>
    <row r="3" spans="1:28" x14ac:dyDescent="0.75">
      <c r="A3" s="2">
        <v>1</v>
      </c>
      <c r="B3" s="2">
        <f t="shared" ref="B3:B56" si="2">IF(C3=1,B2+1,B2)</f>
        <v>1</v>
      </c>
      <c r="C3" s="2">
        <v>2</v>
      </c>
      <c r="D3" s="2" t="s">
        <v>86</v>
      </c>
      <c r="E3" s="2">
        <v>-33.8568</v>
      </c>
      <c r="F3" s="2">
        <v>151.21530000000001</v>
      </c>
      <c r="G3" s="2">
        <v>2000</v>
      </c>
      <c r="P3" s="2">
        <v>1100</v>
      </c>
      <c r="S3" s="2" t="s">
        <v>118</v>
      </c>
      <c r="T3" s="2">
        <v>1000000</v>
      </c>
      <c r="X3" s="2" t="s">
        <v>60</v>
      </c>
      <c r="Y3" s="2" t="s">
        <v>19</v>
      </c>
      <c r="Z3" s="2">
        <f t="shared" si="0"/>
        <v>1</v>
      </c>
      <c r="AA3" s="2">
        <f t="shared" si="1"/>
        <v>1</v>
      </c>
      <c r="AB3" s="2">
        <v>2</v>
      </c>
    </row>
    <row r="4" spans="1:28" x14ac:dyDescent="0.75">
      <c r="A4" s="2">
        <v>1</v>
      </c>
      <c r="B4" s="2">
        <f t="shared" si="2"/>
        <v>1</v>
      </c>
      <c r="C4" s="2">
        <v>3</v>
      </c>
      <c r="D4" s="2" t="s">
        <v>86</v>
      </c>
      <c r="G4" s="2">
        <v>2000</v>
      </c>
      <c r="P4" s="2">
        <v>1100</v>
      </c>
      <c r="S4" s="2" t="s">
        <v>118</v>
      </c>
      <c r="T4" s="2">
        <v>1000000</v>
      </c>
      <c r="X4" s="2" t="s">
        <v>60</v>
      </c>
      <c r="Y4" s="2" t="s">
        <v>19</v>
      </c>
      <c r="Z4" s="2">
        <f t="shared" si="0"/>
        <v>1</v>
      </c>
      <c r="AA4" s="2">
        <f t="shared" si="1"/>
        <v>1</v>
      </c>
      <c r="AB4" s="2">
        <v>3</v>
      </c>
    </row>
    <row r="5" spans="1:28" x14ac:dyDescent="0.75">
      <c r="A5" s="2">
        <v>1</v>
      </c>
      <c r="B5" s="2">
        <f t="shared" si="2"/>
        <v>2</v>
      </c>
      <c r="C5" s="2">
        <v>1</v>
      </c>
      <c r="D5" s="2" t="s">
        <v>86</v>
      </c>
      <c r="H5" s="2" t="s">
        <v>121</v>
      </c>
      <c r="I5" s="2" t="s">
        <v>122</v>
      </c>
      <c r="P5" s="2">
        <v>1100</v>
      </c>
      <c r="S5" s="2" t="s">
        <v>118</v>
      </c>
      <c r="T5" s="2">
        <v>1000000</v>
      </c>
      <c r="X5" s="2" t="s">
        <v>60</v>
      </c>
      <c r="Y5" s="2" t="s">
        <v>19</v>
      </c>
      <c r="Z5" s="2">
        <f t="shared" si="0"/>
        <v>1</v>
      </c>
      <c r="AA5" s="2">
        <f t="shared" si="1"/>
        <v>1</v>
      </c>
      <c r="AB5" s="2">
        <v>4</v>
      </c>
    </row>
    <row r="6" spans="1:28" x14ac:dyDescent="0.75">
      <c r="A6" s="2">
        <v>1</v>
      </c>
      <c r="B6" s="2">
        <f t="shared" si="2"/>
        <v>2</v>
      </c>
      <c r="C6" s="2">
        <v>2</v>
      </c>
      <c r="D6" s="2" t="s">
        <v>86</v>
      </c>
      <c r="J6" s="2" t="s">
        <v>50</v>
      </c>
      <c r="K6" s="2">
        <v>2000</v>
      </c>
      <c r="P6" s="2">
        <v>1100</v>
      </c>
      <c r="S6" s="2" t="s">
        <v>118</v>
      </c>
      <c r="T6" s="2">
        <v>1000000</v>
      </c>
      <c r="X6" s="2" t="s">
        <v>60</v>
      </c>
      <c r="Y6" s="2" t="s">
        <v>19</v>
      </c>
      <c r="Z6" s="2">
        <f t="shared" si="0"/>
        <v>1</v>
      </c>
      <c r="AA6" s="2">
        <f t="shared" si="1"/>
        <v>1</v>
      </c>
      <c r="AB6" s="2">
        <v>5</v>
      </c>
    </row>
    <row r="7" spans="1:28" x14ac:dyDescent="0.75">
      <c r="A7" s="2">
        <v>1</v>
      </c>
      <c r="B7" s="2">
        <f t="shared" si="2"/>
        <v>2</v>
      </c>
      <c r="C7" s="2">
        <v>3</v>
      </c>
      <c r="D7" s="2" t="s">
        <v>86</v>
      </c>
      <c r="L7" s="2" t="s">
        <v>120</v>
      </c>
      <c r="M7" s="2">
        <v>41</v>
      </c>
      <c r="P7" s="2">
        <v>1100</v>
      </c>
      <c r="S7" s="2" t="s">
        <v>118</v>
      </c>
      <c r="T7" s="2">
        <v>1000000</v>
      </c>
      <c r="X7" s="2" t="s">
        <v>60</v>
      </c>
      <c r="Y7" s="2" t="s">
        <v>19</v>
      </c>
      <c r="Z7" s="2">
        <f t="shared" si="0"/>
        <v>1</v>
      </c>
      <c r="AA7" s="2">
        <f t="shared" si="1"/>
        <v>1</v>
      </c>
      <c r="AB7" s="2">
        <v>6</v>
      </c>
    </row>
    <row r="8" spans="1:28" x14ac:dyDescent="0.75">
      <c r="A8" s="2">
        <v>1</v>
      </c>
      <c r="B8" s="2">
        <f t="shared" si="2"/>
        <v>2</v>
      </c>
      <c r="C8" s="2">
        <v>4</v>
      </c>
      <c r="D8" s="2" t="s">
        <v>86</v>
      </c>
      <c r="N8" s="2" t="s">
        <v>119</v>
      </c>
      <c r="O8" s="2">
        <v>41</v>
      </c>
      <c r="P8" s="2">
        <v>1100</v>
      </c>
      <c r="S8" s="2" t="s">
        <v>118</v>
      </c>
      <c r="T8" s="2">
        <v>1000000</v>
      </c>
      <c r="X8" s="2" t="s">
        <v>60</v>
      </c>
      <c r="Y8" s="2" t="s">
        <v>19</v>
      </c>
      <c r="Z8" s="2">
        <f t="shared" si="0"/>
        <v>1</v>
      </c>
      <c r="AA8" s="2">
        <f t="shared" si="1"/>
        <v>1</v>
      </c>
      <c r="AB8" s="2">
        <v>7</v>
      </c>
    </row>
    <row r="9" spans="1:28" x14ac:dyDescent="0.75">
      <c r="A9" s="2">
        <v>1</v>
      </c>
      <c r="B9" s="2">
        <f t="shared" si="2"/>
        <v>2</v>
      </c>
      <c r="C9" s="2">
        <v>5</v>
      </c>
      <c r="D9" s="2" t="s">
        <v>86</v>
      </c>
      <c r="H9" s="2" t="s">
        <v>121</v>
      </c>
      <c r="I9" s="2" t="s">
        <v>122</v>
      </c>
      <c r="J9" s="2" t="s">
        <v>50</v>
      </c>
      <c r="K9" s="2">
        <v>2000</v>
      </c>
      <c r="P9" s="2">
        <v>1100</v>
      </c>
      <c r="S9" s="2" t="s">
        <v>118</v>
      </c>
      <c r="T9" s="2">
        <v>1000000</v>
      </c>
      <c r="X9" s="2" t="s">
        <v>60</v>
      </c>
      <c r="Y9" s="2" t="s">
        <v>19</v>
      </c>
      <c r="Z9" s="2">
        <f t="shared" si="0"/>
        <v>1</v>
      </c>
      <c r="AA9" s="2">
        <f t="shared" si="1"/>
        <v>1</v>
      </c>
      <c r="AB9" s="2">
        <v>8</v>
      </c>
    </row>
    <row r="10" spans="1:28" x14ac:dyDescent="0.75">
      <c r="A10" s="2">
        <v>1</v>
      </c>
      <c r="B10" s="2">
        <f t="shared" si="2"/>
        <v>2</v>
      </c>
      <c r="C10" s="2">
        <v>6</v>
      </c>
      <c r="D10" s="2" t="s">
        <v>86</v>
      </c>
      <c r="H10" s="2" t="s">
        <v>121</v>
      </c>
      <c r="I10" s="2" t="s">
        <v>122</v>
      </c>
      <c r="L10" s="2" t="s">
        <v>120</v>
      </c>
      <c r="M10" s="2">
        <v>41</v>
      </c>
      <c r="P10" s="2">
        <v>1100</v>
      </c>
      <c r="S10" s="2" t="s">
        <v>118</v>
      </c>
      <c r="T10" s="2">
        <v>1000000</v>
      </c>
      <c r="X10" s="2" t="s">
        <v>60</v>
      </c>
      <c r="Y10" s="2" t="s">
        <v>19</v>
      </c>
      <c r="Z10" s="2">
        <f t="shared" si="0"/>
        <v>1</v>
      </c>
      <c r="AA10" s="2">
        <f t="shared" si="1"/>
        <v>1</v>
      </c>
      <c r="AB10" s="2">
        <v>9</v>
      </c>
    </row>
    <row r="11" spans="1:28" x14ac:dyDescent="0.75">
      <c r="A11" s="2">
        <v>1</v>
      </c>
      <c r="B11" s="2">
        <f t="shared" si="2"/>
        <v>2</v>
      </c>
      <c r="C11" s="2">
        <v>7</v>
      </c>
      <c r="D11" s="2" t="s">
        <v>86</v>
      </c>
      <c r="H11" s="2" t="s">
        <v>121</v>
      </c>
      <c r="I11" s="2" t="s">
        <v>122</v>
      </c>
      <c r="N11" s="2" t="s">
        <v>119</v>
      </c>
      <c r="O11" s="2">
        <v>41</v>
      </c>
      <c r="P11" s="2">
        <v>1100</v>
      </c>
      <c r="S11" s="2" t="s">
        <v>118</v>
      </c>
      <c r="T11" s="2">
        <v>1000000</v>
      </c>
      <c r="X11" s="2" t="s">
        <v>60</v>
      </c>
      <c r="Y11" s="2" t="s">
        <v>19</v>
      </c>
      <c r="Z11" s="2">
        <f t="shared" si="0"/>
        <v>1</v>
      </c>
      <c r="AA11" s="2">
        <f t="shared" si="1"/>
        <v>1</v>
      </c>
      <c r="AB11" s="2">
        <v>10</v>
      </c>
    </row>
    <row r="12" spans="1:28" x14ac:dyDescent="0.75">
      <c r="A12" s="2">
        <v>1</v>
      </c>
      <c r="B12" s="2">
        <f t="shared" si="2"/>
        <v>2</v>
      </c>
      <c r="C12" s="2">
        <v>8</v>
      </c>
      <c r="D12" s="2" t="s">
        <v>86</v>
      </c>
      <c r="J12" s="2" t="s">
        <v>50</v>
      </c>
      <c r="K12" s="2">
        <v>2000</v>
      </c>
      <c r="L12" s="2" t="s">
        <v>120</v>
      </c>
      <c r="M12" s="2">
        <v>41</v>
      </c>
      <c r="P12" s="2">
        <v>1100</v>
      </c>
      <c r="S12" s="2" t="s">
        <v>118</v>
      </c>
      <c r="T12" s="2">
        <v>1000000</v>
      </c>
      <c r="X12" s="2" t="s">
        <v>60</v>
      </c>
      <c r="Y12" s="2" t="s">
        <v>19</v>
      </c>
      <c r="Z12" s="2">
        <f t="shared" si="0"/>
        <v>1</v>
      </c>
      <c r="AA12" s="2">
        <f t="shared" si="1"/>
        <v>1</v>
      </c>
      <c r="AB12" s="2">
        <v>11</v>
      </c>
    </row>
    <row r="13" spans="1:28" x14ac:dyDescent="0.75">
      <c r="A13" s="2">
        <v>1</v>
      </c>
      <c r="B13" s="2">
        <f t="shared" si="2"/>
        <v>2</v>
      </c>
      <c r="C13" s="2">
        <v>9</v>
      </c>
      <c r="D13" s="2" t="s">
        <v>86</v>
      </c>
      <c r="J13" s="2" t="s">
        <v>50</v>
      </c>
      <c r="K13" s="2">
        <v>2000</v>
      </c>
      <c r="N13" s="2" t="s">
        <v>119</v>
      </c>
      <c r="O13" s="2">
        <v>41</v>
      </c>
      <c r="P13" s="2">
        <v>1100</v>
      </c>
      <c r="S13" s="2" t="s">
        <v>118</v>
      </c>
      <c r="T13" s="2">
        <v>1000000</v>
      </c>
      <c r="X13" s="2" t="s">
        <v>60</v>
      </c>
      <c r="Y13" s="2" t="s">
        <v>19</v>
      </c>
      <c r="Z13" s="2">
        <f t="shared" si="0"/>
        <v>1</v>
      </c>
      <c r="AA13" s="2">
        <f t="shared" si="1"/>
        <v>1</v>
      </c>
      <c r="AB13" s="2">
        <v>12</v>
      </c>
    </row>
    <row r="14" spans="1:28" x14ac:dyDescent="0.75">
      <c r="A14" s="2">
        <v>1</v>
      </c>
      <c r="B14" s="2">
        <f t="shared" si="2"/>
        <v>2</v>
      </c>
      <c r="C14" s="2">
        <v>10</v>
      </c>
      <c r="D14" s="2" t="s">
        <v>86</v>
      </c>
      <c r="L14" s="2" t="s">
        <v>120</v>
      </c>
      <c r="M14" s="2">
        <v>41</v>
      </c>
      <c r="N14" s="2" t="s">
        <v>119</v>
      </c>
      <c r="O14" s="2">
        <v>41</v>
      </c>
      <c r="P14" s="2">
        <v>1100</v>
      </c>
      <c r="S14" s="2" t="s">
        <v>118</v>
      </c>
      <c r="T14" s="2">
        <v>1000000</v>
      </c>
      <c r="X14" s="2" t="s">
        <v>60</v>
      </c>
      <c r="Y14" s="2" t="s">
        <v>19</v>
      </c>
      <c r="Z14" s="2">
        <f t="shared" si="0"/>
        <v>1</v>
      </c>
      <c r="AA14" s="2">
        <f t="shared" si="1"/>
        <v>1</v>
      </c>
      <c r="AB14" s="2">
        <v>13</v>
      </c>
    </row>
    <row r="15" spans="1:28" x14ac:dyDescent="0.75">
      <c r="A15" s="2">
        <v>1</v>
      </c>
      <c r="B15" s="2">
        <f t="shared" si="2"/>
        <v>2</v>
      </c>
      <c r="C15" s="2">
        <v>11</v>
      </c>
      <c r="D15" s="2" t="s">
        <v>86</v>
      </c>
      <c r="H15" s="2" t="s">
        <v>121</v>
      </c>
      <c r="I15" s="2" t="s">
        <v>122</v>
      </c>
      <c r="J15" s="2" t="s">
        <v>50</v>
      </c>
      <c r="K15" s="2">
        <v>2000</v>
      </c>
      <c r="L15" s="2" t="s">
        <v>120</v>
      </c>
      <c r="M15" s="2">
        <v>41</v>
      </c>
      <c r="P15" s="2">
        <v>1100</v>
      </c>
      <c r="S15" s="2" t="s">
        <v>118</v>
      </c>
      <c r="T15" s="2">
        <v>1000000</v>
      </c>
      <c r="X15" s="2" t="s">
        <v>60</v>
      </c>
      <c r="Y15" s="2" t="s">
        <v>19</v>
      </c>
      <c r="Z15" s="2">
        <f t="shared" si="0"/>
        <v>1</v>
      </c>
      <c r="AA15" s="2">
        <f t="shared" si="1"/>
        <v>1</v>
      </c>
      <c r="AB15" s="2">
        <v>14</v>
      </c>
    </row>
    <row r="16" spans="1:28" x14ac:dyDescent="0.75">
      <c r="A16" s="2">
        <v>1</v>
      </c>
      <c r="B16" s="2">
        <f t="shared" si="2"/>
        <v>2</v>
      </c>
      <c r="C16" s="2">
        <v>12</v>
      </c>
      <c r="D16" s="2" t="s">
        <v>86</v>
      </c>
      <c r="H16" s="2" t="s">
        <v>121</v>
      </c>
      <c r="I16" s="2" t="s">
        <v>122</v>
      </c>
      <c r="J16" s="2" t="s">
        <v>50</v>
      </c>
      <c r="K16" s="2">
        <v>2000</v>
      </c>
      <c r="N16" s="2" t="s">
        <v>119</v>
      </c>
      <c r="O16" s="2">
        <v>41</v>
      </c>
      <c r="P16" s="2">
        <v>1100</v>
      </c>
      <c r="S16" s="2" t="s">
        <v>118</v>
      </c>
      <c r="T16" s="2">
        <v>1000000</v>
      </c>
      <c r="X16" s="2" t="s">
        <v>60</v>
      </c>
      <c r="Y16" s="2" t="s">
        <v>19</v>
      </c>
      <c r="Z16" s="2">
        <f t="shared" si="0"/>
        <v>1</v>
      </c>
      <c r="AA16" s="2">
        <f t="shared" si="1"/>
        <v>1</v>
      </c>
      <c r="AB16" s="2">
        <v>15</v>
      </c>
    </row>
    <row r="17" spans="1:28" x14ac:dyDescent="0.75">
      <c r="A17" s="2">
        <v>1</v>
      </c>
      <c r="B17" s="2">
        <f t="shared" si="2"/>
        <v>2</v>
      </c>
      <c r="C17" s="2">
        <v>13</v>
      </c>
      <c r="D17" s="2" t="s">
        <v>86</v>
      </c>
      <c r="H17" s="2" t="s">
        <v>121</v>
      </c>
      <c r="I17" s="2" t="s">
        <v>122</v>
      </c>
      <c r="L17" s="2" t="s">
        <v>120</v>
      </c>
      <c r="M17" s="2">
        <v>41</v>
      </c>
      <c r="N17" s="2" t="s">
        <v>119</v>
      </c>
      <c r="O17" s="2">
        <v>41</v>
      </c>
      <c r="P17" s="2">
        <v>1100</v>
      </c>
      <c r="S17" s="2" t="s">
        <v>118</v>
      </c>
      <c r="T17" s="2">
        <v>1000000</v>
      </c>
      <c r="X17" s="2" t="s">
        <v>60</v>
      </c>
      <c r="Y17" s="2" t="s">
        <v>19</v>
      </c>
      <c r="Z17" s="2">
        <f t="shared" si="0"/>
        <v>1</v>
      </c>
      <c r="AA17" s="2">
        <f t="shared" si="1"/>
        <v>1</v>
      </c>
      <c r="AB17" s="2">
        <v>16</v>
      </c>
    </row>
    <row r="18" spans="1:28" x14ac:dyDescent="0.75">
      <c r="A18" s="2">
        <v>1</v>
      </c>
      <c r="B18" s="2">
        <f t="shared" si="2"/>
        <v>2</v>
      </c>
      <c r="C18" s="2">
        <v>14</v>
      </c>
      <c r="D18" s="2" t="s">
        <v>86</v>
      </c>
      <c r="J18" s="2" t="s">
        <v>50</v>
      </c>
      <c r="K18" s="2">
        <v>2000</v>
      </c>
      <c r="L18" s="2" t="s">
        <v>120</v>
      </c>
      <c r="M18" s="2">
        <v>41</v>
      </c>
      <c r="N18" s="2" t="s">
        <v>119</v>
      </c>
      <c r="O18" s="2">
        <v>41</v>
      </c>
      <c r="P18" s="2">
        <v>1100</v>
      </c>
      <c r="S18" s="2" t="s">
        <v>118</v>
      </c>
      <c r="T18" s="2">
        <v>1000000</v>
      </c>
      <c r="X18" s="2" t="s">
        <v>60</v>
      </c>
      <c r="Y18" s="2" t="s">
        <v>19</v>
      </c>
      <c r="Z18" s="2">
        <f t="shared" si="0"/>
        <v>1</v>
      </c>
      <c r="AA18" s="2">
        <f t="shared" si="1"/>
        <v>1</v>
      </c>
      <c r="AB18" s="2">
        <v>17</v>
      </c>
    </row>
    <row r="19" spans="1:28" x14ac:dyDescent="0.75">
      <c r="A19" s="2">
        <v>1</v>
      </c>
      <c r="B19" s="2">
        <f t="shared" si="2"/>
        <v>2</v>
      </c>
      <c r="C19" s="2">
        <v>15</v>
      </c>
      <c r="D19" s="2" t="s">
        <v>86</v>
      </c>
      <c r="H19" s="2" t="s">
        <v>121</v>
      </c>
      <c r="I19" s="2" t="s">
        <v>122</v>
      </c>
      <c r="J19" s="2" t="s">
        <v>50</v>
      </c>
      <c r="K19" s="2">
        <v>2000</v>
      </c>
      <c r="L19" s="2" t="s">
        <v>120</v>
      </c>
      <c r="M19" s="2">
        <v>41</v>
      </c>
      <c r="N19" s="2" t="s">
        <v>119</v>
      </c>
      <c r="O19" s="2">
        <v>41</v>
      </c>
      <c r="P19" s="2">
        <v>1100</v>
      </c>
      <c r="S19" s="2" t="s">
        <v>118</v>
      </c>
      <c r="T19" s="2">
        <v>1000000</v>
      </c>
      <c r="X19" s="2" t="s">
        <v>60</v>
      </c>
      <c r="Y19" s="2" t="s">
        <v>19</v>
      </c>
      <c r="Z19" s="2">
        <f t="shared" si="0"/>
        <v>1</v>
      </c>
      <c r="AA19" s="2">
        <f t="shared" si="1"/>
        <v>1</v>
      </c>
      <c r="AB19" s="2">
        <v>18</v>
      </c>
    </row>
    <row r="20" spans="1:28" x14ac:dyDescent="0.75">
      <c r="A20" s="2">
        <v>1</v>
      </c>
      <c r="B20" s="2">
        <f t="shared" si="2"/>
        <v>3</v>
      </c>
      <c r="C20" s="2">
        <v>1</v>
      </c>
      <c r="D20" s="2" t="s">
        <v>86</v>
      </c>
      <c r="G20" s="2">
        <v>2068</v>
      </c>
      <c r="H20" s="2" t="s">
        <v>50</v>
      </c>
      <c r="I20" s="2">
        <v>2000</v>
      </c>
      <c r="P20" s="2">
        <v>1100</v>
      </c>
      <c r="S20" s="2" t="s">
        <v>118</v>
      </c>
      <c r="T20" s="2">
        <v>1000000</v>
      </c>
      <c r="X20" s="2" t="s">
        <v>60</v>
      </c>
      <c r="Y20" s="2" t="s">
        <v>19</v>
      </c>
      <c r="Z20" s="2">
        <f t="shared" si="0"/>
        <v>1</v>
      </c>
      <c r="AA20" s="2">
        <f t="shared" si="1"/>
        <v>1</v>
      </c>
      <c r="AB20" s="2">
        <v>19</v>
      </c>
    </row>
    <row r="21" spans="1:28" x14ac:dyDescent="0.75">
      <c r="A21" s="2">
        <v>1</v>
      </c>
      <c r="B21" s="2">
        <f t="shared" si="2"/>
        <v>3</v>
      </c>
      <c r="C21" s="2">
        <v>2</v>
      </c>
      <c r="D21" s="2" t="s">
        <v>86</v>
      </c>
      <c r="G21" s="2">
        <v>2000</v>
      </c>
      <c r="H21" s="2" t="s">
        <v>50</v>
      </c>
      <c r="I21" s="2">
        <v>2068</v>
      </c>
      <c r="P21" s="2">
        <v>1100</v>
      </c>
      <c r="S21" s="2" t="s">
        <v>118</v>
      </c>
      <c r="T21" s="2">
        <v>1000000</v>
      </c>
      <c r="X21" s="2" t="s">
        <v>60</v>
      </c>
      <c r="Y21" s="2" t="s">
        <v>19</v>
      </c>
      <c r="Z21" s="2">
        <f t="shared" si="0"/>
        <v>1</v>
      </c>
      <c r="AA21" s="2">
        <f t="shared" si="1"/>
        <v>1</v>
      </c>
      <c r="AB21" s="2">
        <v>20</v>
      </c>
    </row>
    <row r="22" spans="1:28" x14ac:dyDescent="0.75">
      <c r="A22" s="2">
        <v>1</v>
      </c>
      <c r="B22" s="2">
        <f t="shared" si="2"/>
        <v>4</v>
      </c>
      <c r="C22" s="2">
        <v>1</v>
      </c>
      <c r="D22" s="2" t="s">
        <v>86</v>
      </c>
      <c r="G22" s="2">
        <v>2000</v>
      </c>
      <c r="P22" s="2">
        <v>1100</v>
      </c>
      <c r="S22" s="2" t="s">
        <v>118</v>
      </c>
      <c r="T22" s="2">
        <v>1000000</v>
      </c>
      <c r="X22" s="2" t="s">
        <v>60</v>
      </c>
      <c r="Y22" s="2" t="s">
        <v>19</v>
      </c>
      <c r="Z22" s="2">
        <f t="shared" si="0"/>
        <v>1</v>
      </c>
      <c r="AA22" s="2">
        <f t="shared" si="1"/>
        <v>1</v>
      </c>
      <c r="AB22" s="2">
        <v>21</v>
      </c>
    </row>
    <row r="23" spans="1:28" x14ac:dyDescent="0.75">
      <c r="A23" s="2">
        <v>1</v>
      </c>
      <c r="B23" s="2">
        <f t="shared" si="2"/>
        <v>4</v>
      </c>
      <c r="C23" s="2">
        <v>2</v>
      </c>
      <c r="D23" s="2" t="s">
        <v>86</v>
      </c>
      <c r="G23" s="2">
        <v>2000</v>
      </c>
      <c r="P23" s="2">
        <v>1100</v>
      </c>
      <c r="S23" s="2" t="s">
        <v>117</v>
      </c>
      <c r="T23" s="2">
        <v>1000000</v>
      </c>
      <c r="X23" s="2" t="s">
        <v>60</v>
      </c>
      <c r="Y23" s="2" t="s">
        <v>19</v>
      </c>
      <c r="Z23" s="2">
        <f t="shared" si="0"/>
        <v>1</v>
      </c>
      <c r="AA23" s="2">
        <f t="shared" si="1"/>
        <v>1</v>
      </c>
      <c r="AB23" s="2">
        <v>22</v>
      </c>
    </row>
    <row r="24" spans="1:28" x14ac:dyDescent="0.75">
      <c r="A24" s="2">
        <v>1</v>
      </c>
      <c r="B24" s="2">
        <f t="shared" si="2"/>
        <v>4</v>
      </c>
      <c r="C24" s="2">
        <v>3</v>
      </c>
      <c r="D24" s="2" t="s">
        <v>86</v>
      </c>
      <c r="G24" s="2">
        <v>2000</v>
      </c>
      <c r="P24" s="2">
        <v>1100</v>
      </c>
      <c r="S24" s="2" t="s">
        <v>116</v>
      </c>
      <c r="T24" s="2">
        <v>1000000</v>
      </c>
      <c r="X24" s="2" t="s">
        <v>60</v>
      </c>
      <c r="Y24" s="2" t="s">
        <v>19</v>
      </c>
      <c r="Z24" s="2">
        <f t="shared" si="0"/>
        <v>1</v>
      </c>
      <c r="AA24" s="2">
        <f t="shared" si="1"/>
        <v>1</v>
      </c>
      <c r="AB24" s="2">
        <v>23</v>
      </c>
    </row>
    <row r="25" spans="1:28" x14ac:dyDescent="0.75">
      <c r="A25" s="2">
        <v>1</v>
      </c>
      <c r="B25" s="2">
        <f t="shared" si="2"/>
        <v>4</v>
      </c>
      <c r="C25" s="2">
        <v>4</v>
      </c>
      <c r="D25" s="2" t="s">
        <v>86</v>
      </c>
      <c r="G25" s="2">
        <v>2000</v>
      </c>
      <c r="P25" s="2">
        <v>1100</v>
      </c>
      <c r="S25" s="2" t="s">
        <v>59</v>
      </c>
      <c r="T25" s="2">
        <v>1000000</v>
      </c>
      <c r="X25" s="2" t="s">
        <v>60</v>
      </c>
      <c r="Y25" s="2" t="s">
        <v>19</v>
      </c>
      <c r="Z25" s="2">
        <f t="shared" si="0"/>
        <v>1</v>
      </c>
      <c r="AA25" s="2">
        <f t="shared" si="1"/>
        <v>1</v>
      </c>
      <c r="AB25" s="2">
        <v>24</v>
      </c>
    </row>
    <row r="26" spans="1:28" x14ac:dyDescent="0.75">
      <c r="A26" s="2">
        <v>1</v>
      </c>
      <c r="B26" s="2">
        <f t="shared" si="2"/>
        <v>5</v>
      </c>
      <c r="C26" s="2">
        <v>1</v>
      </c>
      <c r="D26" s="2" t="s">
        <v>86</v>
      </c>
      <c r="G26" s="2">
        <v>2000</v>
      </c>
      <c r="P26" s="2">
        <v>1100</v>
      </c>
      <c r="S26" s="2" t="s">
        <v>115</v>
      </c>
      <c r="T26" s="2">
        <v>1000000</v>
      </c>
      <c r="X26" s="2" t="s">
        <v>60</v>
      </c>
      <c r="Y26" s="3" t="s">
        <v>21</v>
      </c>
      <c r="Z26" s="2">
        <f t="shared" si="0"/>
        <v>1</v>
      </c>
      <c r="AA26" s="2">
        <f t="shared" si="1"/>
        <v>0</v>
      </c>
      <c r="AB26" s="2" t="s">
        <v>135</v>
      </c>
    </row>
    <row r="27" spans="1:28" x14ac:dyDescent="0.75">
      <c r="A27" s="2">
        <v>1</v>
      </c>
      <c r="B27" s="2">
        <f t="shared" si="2"/>
        <v>5</v>
      </c>
      <c r="C27" s="2">
        <v>2</v>
      </c>
      <c r="D27" s="2" t="s">
        <v>86</v>
      </c>
      <c r="G27" s="2">
        <v>2000</v>
      </c>
      <c r="P27" s="2">
        <v>1100</v>
      </c>
      <c r="S27" s="2" t="s">
        <v>114</v>
      </c>
      <c r="T27" s="2">
        <v>1000000</v>
      </c>
      <c r="X27" s="2" t="s">
        <v>60</v>
      </c>
      <c r="Y27" s="3" t="s">
        <v>21</v>
      </c>
      <c r="Z27" s="2">
        <f t="shared" si="0"/>
        <v>1</v>
      </c>
      <c r="AA27" s="2">
        <f t="shared" si="1"/>
        <v>0</v>
      </c>
      <c r="AB27" s="2" t="s">
        <v>135</v>
      </c>
    </row>
    <row r="28" spans="1:28" x14ac:dyDescent="0.75">
      <c r="A28" s="2">
        <v>1</v>
      </c>
      <c r="B28" s="2">
        <f t="shared" si="2"/>
        <v>5</v>
      </c>
      <c r="C28" s="2">
        <v>3</v>
      </c>
      <c r="D28" s="2" t="s">
        <v>86</v>
      </c>
      <c r="G28" s="2">
        <v>2000</v>
      </c>
      <c r="P28" s="2">
        <v>1100</v>
      </c>
      <c r="S28" s="2" t="s">
        <v>113</v>
      </c>
      <c r="T28" s="2">
        <v>1000000</v>
      </c>
      <c r="X28" s="2" t="s">
        <v>60</v>
      </c>
      <c r="Y28" s="3" t="s">
        <v>21</v>
      </c>
      <c r="Z28" s="2">
        <f t="shared" si="0"/>
        <v>1</v>
      </c>
      <c r="AA28" s="2">
        <f t="shared" si="1"/>
        <v>0</v>
      </c>
      <c r="AB28" s="2" t="s">
        <v>135</v>
      </c>
    </row>
    <row r="29" spans="1:28" x14ac:dyDescent="0.75">
      <c r="A29" s="2">
        <v>1</v>
      </c>
      <c r="B29" s="2">
        <f t="shared" si="2"/>
        <v>5</v>
      </c>
      <c r="C29" s="2">
        <v>4</v>
      </c>
      <c r="D29" s="2" t="s">
        <v>86</v>
      </c>
      <c r="G29" s="2">
        <v>2000</v>
      </c>
      <c r="P29" s="2">
        <v>1100</v>
      </c>
      <c r="S29" s="2" t="s">
        <v>112</v>
      </c>
      <c r="T29" s="2">
        <v>1000000</v>
      </c>
      <c r="X29" s="2" t="s">
        <v>60</v>
      </c>
      <c r="Y29" s="3" t="s">
        <v>21</v>
      </c>
      <c r="Z29" s="2">
        <f t="shared" si="0"/>
        <v>1</v>
      </c>
      <c r="AA29" s="2">
        <f t="shared" si="1"/>
        <v>0</v>
      </c>
      <c r="AB29" s="2" t="s">
        <v>135</v>
      </c>
    </row>
    <row r="30" spans="1:28" x14ac:dyDescent="0.75">
      <c r="A30" s="2">
        <v>1</v>
      </c>
      <c r="B30" s="2">
        <f t="shared" si="2"/>
        <v>5</v>
      </c>
      <c r="C30" s="2">
        <v>5</v>
      </c>
      <c r="D30" s="2" t="s">
        <v>86</v>
      </c>
      <c r="G30" s="2">
        <v>2000</v>
      </c>
      <c r="P30" s="2">
        <v>1100</v>
      </c>
      <c r="S30" s="2" t="s">
        <v>111</v>
      </c>
      <c r="T30" s="2">
        <v>1000000</v>
      </c>
      <c r="X30" s="2" t="s">
        <v>60</v>
      </c>
      <c r="Y30" s="3" t="s">
        <v>21</v>
      </c>
      <c r="Z30" s="2">
        <f t="shared" si="0"/>
        <v>1</v>
      </c>
      <c r="AA30" s="2">
        <f t="shared" si="1"/>
        <v>0</v>
      </c>
      <c r="AB30" s="2" t="s">
        <v>135</v>
      </c>
    </row>
    <row r="31" spans="1:28" x14ac:dyDescent="0.75">
      <c r="A31" s="2">
        <v>1</v>
      </c>
      <c r="B31" s="2">
        <f t="shared" si="2"/>
        <v>5</v>
      </c>
      <c r="C31" s="2">
        <v>6</v>
      </c>
      <c r="D31" s="2" t="s">
        <v>86</v>
      </c>
      <c r="G31" s="2">
        <v>2000</v>
      </c>
      <c r="P31" s="2">
        <v>1100</v>
      </c>
      <c r="S31" s="2" t="s">
        <v>110</v>
      </c>
      <c r="T31" s="2">
        <v>1000000</v>
      </c>
      <c r="X31" s="2" t="s">
        <v>60</v>
      </c>
      <c r="Y31" s="3" t="s">
        <v>21</v>
      </c>
      <c r="Z31" s="2">
        <f t="shared" si="0"/>
        <v>1</v>
      </c>
      <c r="AA31" s="2">
        <f t="shared" si="1"/>
        <v>0</v>
      </c>
      <c r="AB31" s="2" t="s">
        <v>135</v>
      </c>
    </row>
    <row r="32" spans="1:28" x14ac:dyDescent="0.75">
      <c r="A32" s="2">
        <v>1</v>
      </c>
      <c r="B32" s="2">
        <f t="shared" si="2"/>
        <v>5</v>
      </c>
      <c r="C32" s="2">
        <v>7</v>
      </c>
      <c r="D32" s="2" t="s">
        <v>86</v>
      </c>
      <c r="G32" s="2">
        <v>2000</v>
      </c>
      <c r="P32" s="2">
        <v>1100</v>
      </c>
      <c r="S32" s="2" t="s">
        <v>109</v>
      </c>
      <c r="T32" s="2">
        <v>1000000</v>
      </c>
      <c r="X32" s="2" t="s">
        <v>60</v>
      </c>
      <c r="Y32" s="3" t="s">
        <v>21</v>
      </c>
      <c r="Z32" s="2">
        <f t="shared" si="0"/>
        <v>1</v>
      </c>
      <c r="AA32" s="2">
        <f t="shared" si="1"/>
        <v>0</v>
      </c>
      <c r="AB32" s="2" t="s">
        <v>135</v>
      </c>
    </row>
    <row r="33" spans="1:28" x14ac:dyDescent="0.75">
      <c r="A33" s="2">
        <v>1</v>
      </c>
      <c r="B33" s="2">
        <f t="shared" si="2"/>
        <v>5</v>
      </c>
      <c r="C33" s="2">
        <v>8</v>
      </c>
      <c r="D33" s="2" t="s">
        <v>86</v>
      </c>
      <c r="G33" s="2">
        <v>2000</v>
      </c>
      <c r="P33" s="2">
        <v>1100</v>
      </c>
      <c r="S33" s="2" t="s">
        <v>108</v>
      </c>
      <c r="T33" s="2">
        <v>1000000</v>
      </c>
      <c r="X33" s="2" t="s">
        <v>60</v>
      </c>
      <c r="Y33" s="3" t="s">
        <v>21</v>
      </c>
      <c r="Z33" s="2">
        <f t="shared" si="0"/>
        <v>1</v>
      </c>
      <c r="AA33" s="2">
        <f t="shared" si="1"/>
        <v>0</v>
      </c>
      <c r="AB33" s="2" t="s">
        <v>135</v>
      </c>
    </row>
    <row r="34" spans="1:28" x14ac:dyDescent="0.75">
      <c r="A34" s="2">
        <v>1</v>
      </c>
      <c r="B34" s="2">
        <f t="shared" si="2"/>
        <v>5</v>
      </c>
      <c r="C34" s="2">
        <v>9</v>
      </c>
      <c r="D34" s="2" t="s">
        <v>86</v>
      </c>
      <c r="G34" s="2">
        <v>2000</v>
      </c>
      <c r="P34" s="2">
        <v>1100</v>
      </c>
      <c r="S34" s="2" t="s">
        <v>107</v>
      </c>
      <c r="T34" s="2">
        <v>1000000</v>
      </c>
      <c r="X34" s="2" t="s">
        <v>60</v>
      </c>
      <c r="Y34" s="3" t="s">
        <v>21</v>
      </c>
      <c r="Z34" s="2">
        <f t="shared" si="0"/>
        <v>1</v>
      </c>
      <c r="AA34" s="2">
        <f t="shared" si="1"/>
        <v>0</v>
      </c>
      <c r="AB34" s="2" t="s">
        <v>135</v>
      </c>
    </row>
    <row r="35" spans="1:28" x14ac:dyDescent="0.75">
      <c r="A35" s="2">
        <v>1</v>
      </c>
      <c r="B35" s="2">
        <f t="shared" si="2"/>
        <v>5</v>
      </c>
      <c r="C35" s="2">
        <v>10</v>
      </c>
      <c r="D35" s="2" t="s">
        <v>86</v>
      </c>
      <c r="G35" s="2">
        <v>2000</v>
      </c>
      <c r="P35" s="2">
        <v>1100</v>
      </c>
      <c r="S35" s="2" t="s">
        <v>106</v>
      </c>
      <c r="T35" s="2">
        <v>1000000</v>
      </c>
      <c r="X35" s="2" t="s">
        <v>60</v>
      </c>
      <c r="Y35" s="3" t="s">
        <v>21</v>
      </c>
      <c r="Z35" s="2">
        <f t="shared" si="0"/>
        <v>1</v>
      </c>
      <c r="AA35" s="2">
        <f t="shared" si="1"/>
        <v>0</v>
      </c>
      <c r="AB35" s="2" t="s">
        <v>135</v>
      </c>
    </row>
    <row r="36" spans="1:28" x14ac:dyDescent="0.75">
      <c r="A36" s="2">
        <v>1</v>
      </c>
      <c r="B36" s="2">
        <f t="shared" si="2"/>
        <v>5</v>
      </c>
      <c r="C36" s="2">
        <v>11</v>
      </c>
      <c r="D36" s="2" t="s">
        <v>86</v>
      </c>
      <c r="G36" s="2">
        <v>2000</v>
      </c>
      <c r="P36" s="2">
        <v>1100</v>
      </c>
      <c r="S36" s="2" t="s">
        <v>105</v>
      </c>
      <c r="T36" s="2">
        <v>1000000</v>
      </c>
      <c r="X36" s="2" t="s">
        <v>60</v>
      </c>
      <c r="Y36" s="3" t="s">
        <v>21</v>
      </c>
      <c r="Z36" s="2">
        <f t="shared" si="0"/>
        <v>1</v>
      </c>
      <c r="AA36" s="2">
        <f t="shared" si="1"/>
        <v>0</v>
      </c>
      <c r="AB36" s="2" t="s">
        <v>135</v>
      </c>
    </row>
    <row r="37" spans="1:28" x14ac:dyDescent="0.75">
      <c r="A37" s="2">
        <v>1</v>
      </c>
      <c r="B37" s="2">
        <f t="shared" si="2"/>
        <v>5</v>
      </c>
      <c r="C37" s="2">
        <v>12</v>
      </c>
      <c r="D37" s="2" t="s">
        <v>86</v>
      </c>
      <c r="G37" s="2">
        <v>2000</v>
      </c>
      <c r="P37" s="2">
        <v>1100</v>
      </c>
      <c r="S37" s="2" t="s">
        <v>104</v>
      </c>
      <c r="T37" s="2">
        <v>1000000</v>
      </c>
      <c r="X37" s="2" t="s">
        <v>60</v>
      </c>
      <c r="Y37" s="3" t="s">
        <v>21</v>
      </c>
      <c r="Z37" s="2">
        <f t="shared" si="0"/>
        <v>1</v>
      </c>
      <c r="AA37" s="2">
        <f t="shared" si="1"/>
        <v>0</v>
      </c>
      <c r="AB37" s="2" t="s">
        <v>135</v>
      </c>
    </row>
    <row r="38" spans="1:28" x14ac:dyDescent="0.75">
      <c r="A38" s="2">
        <v>1</v>
      </c>
      <c r="B38" s="2">
        <f t="shared" si="2"/>
        <v>5</v>
      </c>
      <c r="C38" s="2">
        <v>13</v>
      </c>
      <c r="D38" s="2" t="s">
        <v>86</v>
      </c>
      <c r="G38" s="2">
        <v>2000</v>
      </c>
      <c r="P38" s="2">
        <v>1100</v>
      </c>
      <c r="S38" s="2" t="s">
        <v>103</v>
      </c>
      <c r="T38" s="2">
        <v>1000000</v>
      </c>
      <c r="X38" s="2" t="s">
        <v>60</v>
      </c>
      <c r="Y38" s="3" t="s">
        <v>21</v>
      </c>
      <c r="Z38" s="2">
        <f t="shared" si="0"/>
        <v>1</v>
      </c>
      <c r="AA38" s="2">
        <f t="shared" si="1"/>
        <v>0</v>
      </c>
      <c r="AB38" s="2" t="s">
        <v>135</v>
      </c>
    </row>
    <row r="39" spans="1:28" x14ac:dyDescent="0.75">
      <c r="A39" s="2">
        <v>1</v>
      </c>
      <c r="B39" s="2">
        <f t="shared" si="2"/>
        <v>5</v>
      </c>
      <c r="C39" s="2">
        <v>14</v>
      </c>
      <c r="D39" s="2" t="s">
        <v>86</v>
      </c>
      <c r="G39" s="2">
        <v>2000</v>
      </c>
      <c r="P39" s="2">
        <v>1100</v>
      </c>
      <c r="S39" s="2" t="s">
        <v>102</v>
      </c>
      <c r="T39" s="2">
        <v>1000000</v>
      </c>
      <c r="X39" s="2" t="s">
        <v>60</v>
      </c>
      <c r="Y39" s="3" t="s">
        <v>21</v>
      </c>
      <c r="Z39" s="2">
        <f t="shared" si="0"/>
        <v>1</v>
      </c>
      <c r="AA39" s="2">
        <f t="shared" si="1"/>
        <v>0</v>
      </c>
      <c r="AB39" s="2" t="s">
        <v>135</v>
      </c>
    </row>
    <row r="40" spans="1:28" x14ac:dyDescent="0.75">
      <c r="A40" s="2">
        <v>1</v>
      </c>
      <c r="B40" s="2">
        <f t="shared" si="2"/>
        <v>5</v>
      </c>
      <c r="C40" s="2">
        <v>15</v>
      </c>
      <c r="D40" s="2" t="s">
        <v>86</v>
      </c>
      <c r="G40" s="2">
        <v>2000</v>
      </c>
      <c r="P40" s="2">
        <v>1100</v>
      </c>
      <c r="S40" s="2" t="s">
        <v>101</v>
      </c>
      <c r="T40" s="2">
        <v>1000000</v>
      </c>
      <c r="X40" s="2" t="s">
        <v>60</v>
      </c>
      <c r="Y40" s="3" t="s">
        <v>21</v>
      </c>
      <c r="Z40" s="2">
        <f t="shared" si="0"/>
        <v>1</v>
      </c>
      <c r="AA40" s="2">
        <f t="shared" si="1"/>
        <v>0</v>
      </c>
      <c r="AB40" s="2" t="s">
        <v>135</v>
      </c>
    </row>
    <row r="41" spans="1:28" x14ac:dyDescent="0.75">
      <c r="A41" s="2">
        <v>1</v>
      </c>
      <c r="B41" s="2">
        <f t="shared" si="2"/>
        <v>5</v>
      </c>
      <c r="C41" s="2">
        <v>16</v>
      </c>
      <c r="D41" s="2" t="s">
        <v>86</v>
      </c>
      <c r="G41" s="2">
        <v>2000</v>
      </c>
      <c r="P41" s="2">
        <v>1100</v>
      </c>
      <c r="S41" s="2" t="s">
        <v>100</v>
      </c>
      <c r="T41" s="2">
        <v>1000000</v>
      </c>
      <c r="X41" s="2" t="s">
        <v>60</v>
      </c>
      <c r="Y41" s="3" t="s">
        <v>21</v>
      </c>
      <c r="Z41" s="2">
        <f t="shared" si="0"/>
        <v>1</v>
      </c>
      <c r="AA41" s="2">
        <f t="shared" si="1"/>
        <v>0</v>
      </c>
      <c r="AB41" s="2" t="s">
        <v>135</v>
      </c>
    </row>
    <row r="42" spans="1:28" x14ac:dyDescent="0.75">
      <c r="A42" s="2">
        <v>1</v>
      </c>
      <c r="B42" s="2">
        <f t="shared" si="2"/>
        <v>5</v>
      </c>
      <c r="C42" s="2">
        <v>17</v>
      </c>
      <c r="D42" s="2" t="s">
        <v>86</v>
      </c>
      <c r="G42" s="2">
        <v>2000</v>
      </c>
      <c r="P42" s="2">
        <v>1100</v>
      </c>
      <c r="S42" s="2" t="s">
        <v>99</v>
      </c>
      <c r="T42" s="2">
        <v>1000000</v>
      </c>
      <c r="X42" s="2" t="s">
        <v>60</v>
      </c>
      <c r="Y42" s="3" t="s">
        <v>21</v>
      </c>
      <c r="Z42" s="2">
        <f t="shared" si="0"/>
        <v>1</v>
      </c>
      <c r="AA42" s="2">
        <f t="shared" si="1"/>
        <v>0</v>
      </c>
      <c r="AB42" s="2" t="s">
        <v>135</v>
      </c>
    </row>
    <row r="43" spans="1:28" x14ac:dyDescent="0.75">
      <c r="A43" s="2">
        <v>1</v>
      </c>
      <c r="B43" s="2">
        <f t="shared" si="2"/>
        <v>5</v>
      </c>
      <c r="C43" s="2">
        <v>18</v>
      </c>
      <c r="D43" s="2" t="s">
        <v>86</v>
      </c>
      <c r="G43" s="2">
        <v>2000</v>
      </c>
      <c r="P43" s="2">
        <v>1100</v>
      </c>
      <c r="S43" s="2" t="s">
        <v>98</v>
      </c>
      <c r="T43" s="2">
        <v>1000000</v>
      </c>
      <c r="X43" s="2" t="s">
        <v>60</v>
      </c>
      <c r="Y43" s="3" t="s">
        <v>21</v>
      </c>
      <c r="Z43" s="2">
        <f t="shared" si="0"/>
        <v>1</v>
      </c>
      <c r="AA43" s="2">
        <f t="shared" si="1"/>
        <v>0</v>
      </c>
      <c r="AB43" s="2" t="s">
        <v>135</v>
      </c>
    </row>
    <row r="44" spans="1:28" x14ac:dyDescent="0.75">
      <c r="A44" s="2">
        <v>1</v>
      </c>
      <c r="B44" s="2">
        <f t="shared" si="2"/>
        <v>5</v>
      </c>
      <c r="C44" s="2">
        <v>19</v>
      </c>
      <c r="D44" s="2" t="s">
        <v>86</v>
      </c>
      <c r="G44" s="2">
        <v>2000</v>
      </c>
      <c r="P44" s="2">
        <v>1100</v>
      </c>
      <c r="S44" s="2" t="s">
        <v>97</v>
      </c>
      <c r="T44" s="2">
        <v>1000000</v>
      </c>
      <c r="X44" s="2" t="s">
        <v>60</v>
      </c>
      <c r="Y44" s="3" t="s">
        <v>21</v>
      </c>
      <c r="Z44" s="2">
        <f t="shared" si="0"/>
        <v>1</v>
      </c>
      <c r="AA44" s="2">
        <f t="shared" si="1"/>
        <v>0</v>
      </c>
      <c r="AB44" s="2" t="s">
        <v>135</v>
      </c>
    </row>
    <row r="45" spans="1:28" x14ac:dyDescent="0.75">
      <c r="A45" s="2">
        <v>1</v>
      </c>
      <c r="B45" s="2">
        <f t="shared" si="2"/>
        <v>5</v>
      </c>
      <c r="C45" s="2">
        <v>20</v>
      </c>
      <c r="D45" s="2" t="s">
        <v>86</v>
      </c>
      <c r="G45" s="2">
        <v>2000</v>
      </c>
      <c r="P45" s="2">
        <v>1100</v>
      </c>
      <c r="S45" s="2" t="s">
        <v>96</v>
      </c>
      <c r="T45" s="2">
        <v>1000000</v>
      </c>
      <c r="X45" s="2" t="s">
        <v>60</v>
      </c>
      <c r="Y45" s="3" t="s">
        <v>21</v>
      </c>
      <c r="Z45" s="2">
        <f t="shared" si="0"/>
        <v>1</v>
      </c>
      <c r="AA45" s="2">
        <f t="shared" si="1"/>
        <v>0</v>
      </c>
      <c r="AB45" s="2" t="s">
        <v>135</v>
      </c>
    </row>
    <row r="46" spans="1:28" x14ac:dyDescent="0.75">
      <c r="A46" s="2">
        <v>1</v>
      </c>
      <c r="B46" s="2">
        <f t="shared" si="2"/>
        <v>5</v>
      </c>
      <c r="C46" s="2">
        <v>21</v>
      </c>
      <c r="D46" s="2" t="s">
        <v>86</v>
      </c>
      <c r="G46" s="2">
        <v>2000</v>
      </c>
      <c r="P46" s="2">
        <v>1100</v>
      </c>
      <c r="S46" s="2" t="s">
        <v>95</v>
      </c>
      <c r="T46" s="2">
        <v>1000000</v>
      </c>
      <c r="X46" s="2" t="s">
        <v>60</v>
      </c>
      <c r="Y46" s="3" t="s">
        <v>21</v>
      </c>
      <c r="Z46" s="2">
        <f t="shared" si="0"/>
        <v>1</v>
      </c>
      <c r="AA46" s="2">
        <f t="shared" si="1"/>
        <v>0</v>
      </c>
      <c r="AB46" s="2" t="s">
        <v>135</v>
      </c>
    </row>
    <row r="47" spans="1:28" x14ac:dyDescent="0.75">
      <c r="A47" s="2">
        <v>1</v>
      </c>
      <c r="B47" s="2">
        <f t="shared" si="2"/>
        <v>5</v>
      </c>
      <c r="C47" s="2">
        <v>22</v>
      </c>
      <c r="D47" s="2" t="s">
        <v>86</v>
      </c>
      <c r="G47" s="2">
        <v>2000</v>
      </c>
      <c r="P47" s="2">
        <v>1100</v>
      </c>
      <c r="S47" s="2" t="s">
        <v>94</v>
      </c>
      <c r="T47" s="2">
        <v>1000000</v>
      </c>
      <c r="X47" s="2" t="s">
        <v>60</v>
      </c>
      <c r="Y47" s="3" t="s">
        <v>21</v>
      </c>
      <c r="Z47" s="2">
        <f t="shared" si="0"/>
        <v>1</v>
      </c>
      <c r="AA47" s="2">
        <f t="shared" si="1"/>
        <v>0</v>
      </c>
      <c r="AB47" s="2" t="s">
        <v>135</v>
      </c>
    </row>
    <row r="48" spans="1:28" x14ac:dyDescent="0.75">
      <c r="A48" s="2">
        <v>1</v>
      </c>
      <c r="B48" s="2">
        <f t="shared" si="2"/>
        <v>5</v>
      </c>
      <c r="C48" s="2">
        <v>23</v>
      </c>
      <c r="D48" s="2" t="s">
        <v>86</v>
      </c>
      <c r="G48" s="2">
        <v>2000</v>
      </c>
      <c r="P48" s="2">
        <v>1100</v>
      </c>
      <c r="S48" s="2" t="s">
        <v>93</v>
      </c>
      <c r="T48" s="2">
        <v>1000000</v>
      </c>
      <c r="X48" s="2" t="s">
        <v>60</v>
      </c>
      <c r="Y48" s="3" t="s">
        <v>21</v>
      </c>
      <c r="Z48" s="2">
        <f t="shared" si="0"/>
        <v>1</v>
      </c>
      <c r="AA48" s="2">
        <f t="shared" si="1"/>
        <v>0</v>
      </c>
      <c r="AB48" s="2" t="s">
        <v>135</v>
      </c>
    </row>
    <row r="49" spans="1:28" x14ac:dyDescent="0.75">
      <c r="A49" s="2">
        <v>1</v>
      </c>
      <c r="B49" s="2">
        <f t="shared" si="2"/>
        <v>5</v>
      </c>
      <c r="C49" s="2">
        <v>24</v>
      </c>
      <c r="D49" s="2" t="s">
        <v>86</v>
      </c>
      <c r="G49" s="2">
        <v>2000</v>
      </c>
      <c r="P49" s="2">
        <v>1100</v>
      </c>
      <c r="S49" s="2" t="s">
        <v>92</v>
      </c>
      <c r="T49" s="2">
        <v>1000000</v>
      </c>
      <c r="X49" s="2" t="s">
        <v>60</v>
      </c>
      <c r="Y49" s="3" t="s">
        <v>21</v>
      </c>
      <c r="Z49" s="2">
        <f t="shared" si="0"/>
        <v>1</v>
      </c>
      <c r="AA49" s="2">
        <f t="shared" si="1"/>
        <v>0</v>
      </c>
      <c r="AB49" s="2" t="s">
        <v>135</v>
      </c>
    </row>
    <row r="50" spans="1:28" x14ac:dyDescent="0.75">
      <c r="A50" s="2">
        <v>1</v>
      </c>
      <c r="B50" s="2">
        <f t="shared" si="2"/>
        <v>5</v>
      </c>
      <c r="C50" s="2">
        <v>25</v>
      </c>
      <c r="D50" s="2" t="s">
        <v>86</v>
      </c>
      <c r="G50" s="2">
        <v>2000</v>
      </c>
      <c r="P50" s="2">
        <v>1100</v>
      </c>
      <c r="S50" s="2" t="s">
        <v>91</v>
      </c>
      <c r="T50" s="2">
        <v>1000000</v>
      </c>
      <c r="X50" s="2" t="s">
        <v>60</v>
      </c>
      <c r="Y50" s="3" t="s">
        <v>21</v>
      </c>
      <c r="Z50" s="2">
        <f t="shared" si="0"/>
        <v>1</v>
      </c>
      <c r="AA50" s="2">
        <f t="shared" si="1"/>
        <v>0</v>
      </c>
      <c r="AB50" s="2" t="s">
        <v>135</v>
      </c>
    </row>
    <row r="51" spans="1:28" x14ac:dyDescent="0.75">
      <c r="A51" s="2">
        <v>1</v>
      </c>
      <c r="B51" s="2">
        <f t="shared" si="2"/>
        <v>5</v>
      </c>
      <c r="C51" s="2">
        <v>26</v>
      </c>
      <c r="D51" s="2" t="s">
        <v>86</v>
      </c>
      <c r="G51" s="2">
        <v>2000</v>
      </c>
      <c r="P51" s="2">
        <v>1100</v>
      </c>
      <c r="S51" s="2" t="s">
        <v>90</v>
      </c>
      <c r="T51" s="2">
        <v>1000000</v>
      </c>
      <c r="X51" s="2" t="s">
        <v>60</v>
      </c>
      <c r="Y51" s="3" t="s">
        <v>21</v>
      </c>
      <c r="Z51" s="2">
        <f t="shared" si="0"/>
        <v>1</v>
      </c>
      <c r="AA51" s="2">
        <f t="shared" si="1"/>
        <v>0</v>
      </c>
      <c r="AB51" s="2" t="s">
        <v>135</v>
      </c>
    </row>
    <row r="52" spans="1:28" x14ac:dyDescent="0.75">
      <c r="A52" s="2">
        <v>1</v>
      </c>
      <c r="B52" s="2">
        <f t="shared" si="2"/>
        <v>5</v>
      </c>
      <c r="C52" s="2">
        <v>27</v>
      </c>
      <c r="D52" s="2" t="s">
        <v>86</v>
      </c>
      <c r="G52" s="2">
        <v>2000</v>
      </c>
      <c r="P52" s="2">
        <v>1100</v>
      </c>
      <c r="S52" s="2" t="s">
        <v>89</v>
      </c>
      <c r="T52" s="2">
        <v>1000000</v>
      </c>
      <c r="X52" s="2" t="s">
        <v>60</v>
      </c>
      <c r="Y52" s="3" t="s">
        <v>21</v>
      </c>
      <c r="Z52" s="2">
        <f t="shared" si="0"/>
        <v>1</v>
      </c>
      <c r="AA52" s="2">
        <f t="shared" si="1"/>
        <v>0</v>
      </c>
      <c r="AB52" s="2" t="s">
        <v>135</v>
      </c>
    </row>
    <row r="53" spans="1:28" x14ac:dyDescent="0.75">
      <c r="A53" s="2">
        <v>1</v>
      </c>
      <c r="B53" s="2">
        <f t="shared" si="2"/>
        <v>5</v>
      </c>
      <c r="C53" s="2">
        <v>28</v>
      </c>
      <c r="D53" s="2" t="s">
        <v>86</v>
      </c>
      <c r="G53" s="2">
        <v>2000</v>
      </c>
      <c r="P53" s="2">
        <v>1100</v>
      </c>
      <c r="S53" s="2" t="s">
        <v>88</v>
      </c>
      <c r="T53" s="2">
        <v>1000000</v>
      </c>
      <c r="X53" s="2" t="s">
        <v>60</v>
      </c>
      <c r="Y53" s="3" t="s">
        <v>21</v>
      </c>
      <c r="Z53" s="2">
        <f t="shared" si="0"/>
        <v>1</v>
      </c>
      <c r="AA53" s="2">
        <f t="shared" si="1"/>
        <v>0</v>
      </c>
      <c r="AB53" s="2" t="s">
        <v>135</v>
      </c>
    </row>
    <row r="54" spans="1:28" x14ac:dyDescent="0.75">
      <c r="A54" s="2">
        <v>1</v>
      </c>
      <c r="B54" s="2">
        <f t="shared" si="2"/>
        <v>5</v>
      </c>
      <c r="C54" s="2">
        <v>29</v>
      </c>
      <c r="D54" s="2" t="s">
        <v>86</v>
      </c>
      <c r="G54" s="2">
        <v>2000</v>
      </c>
      <c r="P54" s="2">
        <v>1100</v>
      </c>
      <c r="S54" s="2" t="s">
        <v>87</v>
      </c>
      <c r="T54" s="2">
        <v>1000000</v>
      </c>
      <c r="X54" s="2" t="s">
        <v>60</v>
      </c>
      <c r="Y54" s="3" t="s">
        <v>21</v>
      </c>
      <c r="Z54" s="2">
        <f t="shared" si="0"/>
        <v>1</v>
      </c>
      <c r="AA54" s="2">
        <f t="shared" si="1"/>
        <v>0</v>
      </c>
      <c r="AB54" s="2" t="s">
        <v>135</v>
      </c>
    </row>
    <row r="55" spans="1:28" x14ac:dyDescent="0.75">
      <c r="A55" s="2">
        <v>1</v>
      </c>
      <c r="B55" s="2">
        <f t="shared" si="2"/>
        <v>5</v>
      </c>
      <c r="C55" s="2">
        <v>30</v>
      </c>
      <c r="D55" s="2" t="s">
        <v>86</v>
      </c>
      <c r="G55" s="2">
        <v>2000</v>
      </c>
      <c r="P55" s="2">
        <v>1100</v>
      </c>
      <c r="S55" s="2" t="s">
        <v>85</v>
      </c>
      <c r="T55" s="2">
        <v>1000000</v>
      </c>
      <c r="X55" s="2" t="s">
        <v>60</v>
      </c>
      <c r="Y55" s="3" t="s">
        <v>21</v>
      </c>
      <c r="Z55" s="2">
        <f t="shared" si="0"/>
        <v>1</v>
      </c>
      <c r="AA55" s="2">
        <f t="shared" si="1"/>
        <v>0</v>
      </c>
      <c r="AB55" s="2" t="s">
        <v>135</v>
      </c>
    </row>
    <row r="56" spans="1:28" x14ac:dyDescent="0.75">
      <c r="A56" s="3">
        <v>1</v>
      </c>
      <c r="B56" s="2">
        <f t="shared" si="2"/>
        <v>6</v>
      </c>
      <c r="C56" s="3">
        <v>1</v>
      </c>
      <c r="D56" s="3" t="s">
        <v>86</v>
      </c>
      <c r="G56" s="3">
        <v>2000</v>
      </c>
      <c r="P56" s="3">
        <v>1100</v>
      </c>
      <c r="Q56" s="2">
        <v>5850</v>
      </c>
      <c r="S56" s="3" t="s">
        <v>118</v>
      </c>
      <c r="T56" s="3"/>
      <c r="W56" s="2">
        <v>1000000</v>
      </c>
      <c r="X56" s="3" t="s">
        <v>60</v>
      </c>
      <c r="Y56" s="3" t="s">
        <v>19</v>
      </c>
      <c r="Z56" s="2">
        <f t="shared" ref="Z56:Z119" si="3">IF(T56&gt;0,1,0)+IF(U56&gt;0,1,0)+IF(V56&gt;0,1,0)+IF(W56&gt;0,1,0)</f>
        <v>1</v>
      </c>
      <c r="AA56" s="2">
        <f t="shared" ref="AA56:AA119" si="4">IF(Y56="OK",Z56,0)</f>
        <v>1</v>
      </c>
      <c r="AB56" s="2">
        <v>25</v>
      </c>
    </row>
    <row r="57" spans="1:28" x14ac:dyDescent="0.75">
      <c r="A57" s="3">
        <v>1</v>
      </c>
      <c r="B57" s="2">
        <f t="shared" ref="B57:B58" si="5">IF(C57=1,B56+1,B56)</f>
        <v>6</v>
      </c>
      <c r="C57" s="3">
        <v>2</v>
      </c>
      <c r="D57" s="3" t="s">
        <v>86</v>
      </c>
      <c r="G57" s="3">
        <v>2000</v>
      </c>
      <c r="P57" s="3">
        <v>1100</v>
      </c>
      <c r="Q57" s="2">
        <v>5850</v>
      </c>
      <c r="R57" s="2">
        <v>0</v>
      </c>
      <c r="S57" s="3" t="s">
        <v>118</v>
      </c>
      <c r="T57" s="3"/>
      <c r="W57" s="2">
        <v>1000000</v>
      </c>
      <c r="X57" s="3" t="s">
        <v>60</v>
      </c>
      <c r="Y57" s="3" t="s">
        <v>19</v>
      </c>
      <c r="Z57" s="2">
        <f t="shared" si="3"/>
        <v>1</v>
      </c>
      <c r="AA57" s="2">
        <f t="shared" si="4"/>
        <v>1</v>
      </c>
      <c r="AB57" s="2">
        <v>26</v>
      </c>
    </row>
    <row r="58" spans="1:28" x14ac:dyDescent="0.75">
      <c r="A58" s="3">
        <v>1</v>
      </c>
      <c r="B58" s="2">
        <f t="shared" si="5"/>
        <v>6</v>
      </c>
      <c r="C58" s="3">
        <v>3</v>
      </c>
      <c r="D58" s="3" t="s">
        <v>86</v>
      </c>
      <c r="G58" s="3">
        <v>2000</v>
      </c>
      <c r="P58" s="3">
        <v>1100</v>
      </c>
      <c r="Q58" s="2">
        <v>5850</v>
      </c>
      <c r="R58" s="2">
        <v>9999</v>
      </c>
      <c r="S58" s="3" t="s">
        <v>118</v>
      </c>
      <c r="T58" s="3"/>
      <c r="W58" s="2">
        <v>1000000</v>
      </c>
      <c r="X58" s="3" t="s">
        <v>60</v>
      </c>
      <c r="Y58" s="3" t="s">
        <v>19</v>
      </c>
      <c r="Z58" s="2">
        <f t="shared" si="3"/>
        <v>1</v>
      </c>
      <c r="AA58" s="2">
        <f t="shared" si="4"/>
        <v>1</v>
      </c>
      <c r="AB58" s="2">
        <v>27</v>
      </c>
    </row>
    <row r="59" spans="1:28" x14ac:dyDescent="0.75">
      <c r="A59" s="3">
        <v>1</v>
      </c>
      <c r="B59" s="2">
        <f t="shared" ref="B59:B64" si="6">IF(C59=1,B58+1,B58)</f>
        <v>6</v>
      </c>
      <c r="C59" s="3">
        <v>4</v>
      </c>
      <c r="D59" s="3" t="s">
        <v>86</v>
      </c>
      <c r="G59" s="3">
        <v>2000</v>
      </c>
      <c r="P59" s="3">
        <v>1100</v>
      </c>
      <c r="Q59" s="2">
        <v>5850</v>
      </c>
      <c r="R59" s="2">
        <v>2003</v>
      </c>
      <c r="S59" s="3" t="s">
        <v>118</v>
      </c>
      <c r="T59" s="3"/>
      <c r="W59" s="2">
        <v>1000000</v>
      </c>
      <c r="X59" s="3" t="s">
        <v>60</v>
      </c>
      <c r="Y59" s="3" t="s">
        <v>19</v>
      </c>
      <c r="Z59" s="2">
        <f t="shared" si="3"/>
        <v>1</v>
      </c>
      <c r="AA59" s="2">
        <f t="shared" si="4"/>
        <v>1</v>
      </c>
      <c r="AB59" s="2">
        <v>28</v>
      </c>
    </row>
    <row r="60" spans="1:28" x14ac:dyDescent="0.75">
      <c r="A60" s="3">
        <v>1</v>
      </c>
      <c r="B60" s="2">
        <f t="shared" si="6"/>
        <v>6</v>
      </c>
      <c r="C60" s="3">
        <v>5</v>
      </c>
      <c r="D60" s="3" t="s">
        <v>86</v>
      </c>
      <c r="G60" s="3">
        <v>2000</v>
      </c>
      <c r="P60" s="3">
        <v>1100</v>
      </c>
      <c r="Q60" s="2">
        <v>5850</v>
      </c>
      <c r="R60" s="3">
        <v>2007</v>
      </c>
      <c r="S60" s="3" t="s">
        <v>118</v>
      </c>
      <c r="T60" s="3"/>
      <c r="W60" s="2">
        <v>1000000</v>
      </c>
      <c r="X60" s="3" t="s">
        <v>60</v>
      </c>
      <c r="Y60" s="3" t="s">
        <v>19</v>
      </c>
      <c r="Z60" s="2">
        <f t="shared" si="3"/>
        <v>1</v>
      </c>
      <c r="AA60" s="2">
        <f t="shared" si="4"/>
        <v>1</v>
      </c>
      <c r="AB60" s="2">
        <v>29</v>
      </c>
    </row>
    <row r="61" spans="1:28" x14ac:dyDescent="0.75">
      <c r="A61" s="3">
        <v>1</v>
      </c>
      <c r="B61" s="2">
        <f t="shared" si="6"/>
        <v>6</v>
      </c>
      <c r="C61" s="3">
        <v>6</v>
      </c>
      <c r="D61" s="3" t="s">
        <v>86</v>
      </c>
      <c r="G61" s="3">
        <v>2000</v>
      </c>
      <c r="P61" s="3">
        <v>1100</v>
      </c>
      <c r="Q61" s="2">
        <v>5850</v>
      </c>
      <c r="R61" s="2">
        <v>2012</v>
      </c>
      <c r="S61" s="3" t="s">
        <v>118</v>
      </c>
      <c r="T61" s="3"/>
      <c r="W61" s="2">
        <v>1000000</v>
      </c>
      <c r="X61" s="3" t="s">
        <v>60</v>
      </c>
      <c r="Y61" s="3" t="s">
        <v>19</v>
      </c>
      <c r="Z61" s="2">
        <f t="shared" si="3"/>
        <v>1</v>
      </c>
      <c r="AA61" s="2">
        <f t="shared" si="4"/>
        <v>1</v>
      </c>
      <c r="AB61" s="2">
        <v>30</v>
      </c>
    </row>
    <row r="62" spans="1:28" x14ac:dyDescent="0.75">
      <c r="A62" s="3">
        <v>1</v>
      </c>
      <c r="B62" s="2">
        <f t="shared" si="6"/>
        <v>6</v>
      </c>
      <c r="C62" s="3">
        <v>7</v>
      </c>
      <c r="D62" s="3" t="s">
        <v>86</v>
      </c>
      <c r="G62" s="3">
        <v>2000</v>
      </c>
      <c r="P62" s="3">
        <v>1100</v>
      </c>
      <c r="Q62" s="2">
        <v>5850</v>
      </c>
      <c r="R62" s="3">
        <v>2020</v>
      </c>
      <c r="S62" s="3" t="s">
        <v>118</v>
      </c>
      <c r="T62" s="3"/>
      <c r="W62" s="2">
        <v>1000000</v>
      </c>
      <c r="X62" s="3" t="s">
        <v>60</v>
      </c>
      <c r="Y62" s="3" t="s">
        <v>19</v>
      </c>
      <c r="Z62" s="2">
        <f t="shared" si="3"/>
        <v>1</v>
      </c>
      <c r="AA62" s="2">
        <f t="shared" si="4"/>
        <v>1</v>
      </c>
      <c r="AB62" s="2">
        <v>31</v>
      </c>
    </row>
    <row r="63" spans="1:28" x14ac:dyDescent="0.75">
      <c r="A63" s="3">
        <v>1</v>
      </c>
      <c r="B63" s="2">
        <f t="shared" si="6"/>
        <v>7</v>
      </c>
      <c r="C63" s="3">
        <v>1</v>
      </c>
      <c r="D63" s="3" t="s">
        <v>86</v>
      </c>
      <c r="G63" s="3">
        <v>2000</v>
      </c>
      <c r="P63" s="3">
        <v>1050</v>
      </c>
      <c r="S63" s="3" t="s">
        <v>118</v>
      </c>
      <c r="T63" s="2">
        <v>1000000</v>
      </c>
      <c r="X63" s="3" t="s">
        <v>60</v>
      </c>
      <c r="Y63" s="3" t="s">
        <v>19</v>
      </c>
      <c r="Z63" s="2">
        <f t="shared" si="3"/>
        <v>1</v>
      </c>
      <c r="AA63" s="2">
        <f t="shared" si="4"/>
        <v>1</v>
      </c>
      <c r="AB63" s="2">
        <v>32</v>
      </c>
    </row>
    <row r="64" spans="1:28" x14ac:dyDescent="0.75">
      <c r="A64" s="3">
        <v>1</v>
      </c>
      <c r="B64" s="2">
        <f t="shared" si="6"/>
        <v>7</v>
      </c>
      <c r="C64" s="3">
        <v>2</v>
      </c>
      <c r="D64" s="3" t="s">
        <v>86</v>
      </c>
      <c r="G64" s="3">
        <v>2000</v>
      </c>
      <c r="P64" s="3">
        <v>1051</v>
      </c>
      <c r="S64" s="3" t="s">
        <v>118</v>
      </c>
      <c r="T64" s="2">
        <v>1000000</v>
      </c>
      <c r="X64" s="3" t="s">
        <v>60</v>
      </c>
      <c r="Y64" s="3" t="s">
        <v>19</v>
      </c>
      <c r="Z64" s="2">
        <f t="shared" si="3"/>
        <v>1</v>
      </c>
      <c r="AA64" s="2">
        <f t="shared" si="4"/>
        <v>1</v>
      </c>
      <c r="AB64" s="2">
        <v>33</v>
      </c>
    </row>
    <row r="65" spans="1:28" x14ac:dyDescent="0.75">
      <c r="A65" s="3">
        <v>1</v>
      </c>
      <c r="B65" s="2">
        <f t="shared" ref="B65:B128" si="7">IF(C65=1,B64+1,B64)</f>
        <v>7</v>
      </c>
      <c r="C65" s="3">
        <v>3</v>
      </c>
      <c r="D65" s="3" t="s">
        <v>86</v>
      </c>
      <c r="G65" s="3">
        <v>2000</v>
      </c>
      <c r="P65" s="3">
        <v>1052</v>
      </c>
      <c r="S65" s="3" t="s">
        <v>118</v>
      </c>
      <c r="T65" s="2">
        <v>1000000</v>
      </c>
      <c r="X65" s="3" t="s">
        <v>60</v>
      </c>
      <c r="Y65" s="3" t="s">
        <v>19</v>
      </c>
      <c r="Z65" s="2">
        <f t="shared" si="3"/>
        <v>1</v>
      </c>
      <c r="AA65" s="2">
        <f t="shared" si="4"/>
        <v>1</v>
      </c>
      <c r="AB65" s="2">
        <v>34</v>
      </c>
    </row>
    <row r="66" spans="1:28" x14ac:dyDescent="0.75">
      <c r="A66" s="3">
        <v>1</v>
      </c>
      <c r="B66" s="2">
        <f t="shared" si="7"/>
        <v>7</v>
      </c>
      <c r="C66" s="3">
        <v>4</v>
      </c>
      <c r="D66" s="3" t="s">
        <v>86</v>
      </c>
      <c r="G66" s="3">
        <v>2000</v>
      </c>
      <c r="P66" s="3">
        <v>1053</v>
      </c>
      <c r="S66" s="3" t="s">
        <v>118</v>
      </c>
      <c r="T66" s="2">
        <v>1000000</v>
      </c>
      <c r="X66" s="3" t="s">
        <v>60</v>
      </c>
      <c r="Y66" s="3" t="s">
        <v>19</v>
      </c>
      <c r="Z66" s="2">
        <f t="shared" si="3"/>
        <v>1</v>
      </c>
      <c r="AA66" s="2">
        <f t="shared" si="4"/>
        <v>1</v>
      </c>
      <c r="AB66" s="2">
        <v>35</v>
      </c>
    </row>
    <row r="67" spans="1:28" x14ac:dyDescent="0.75">
      <c r="A67" s="3">
        <v>1</v>
      </c>
      <c r="B67" s="2">
        <f t="shared" si="7"/>
        <v>7</v>
      </c>
      <c r="C67" s="3">
        <v>5</v>
      </c>
      <c r="D67" s="3" t="s">
        <v>86</v>
      </c>
      <c r="G67" s="3">
        <v>2000</v>
      </c>
      <c r="P67" s="3">
        <v>1054</v>
      </c>
      <c r="S67" s="3" t="s">
        <v>118</v>
      </c>
      <c r="T67" s="2">
        <v>1000000</v>
      </c>
      <c r="X67" s="3" t="s">
        <v>60</v>
      </c>
      <c r="Y67" s="3" t="s">
        <v>19</v>
      </c>
      <c r="Z67" s="2">
        <f t="shared" si="3"/>
        <v>1</v>
      </c>
      <c r="AA67" s="2">
        <f t="shared" si="4"/>
        <v>1</v>
      </c>
      <c r="AB67" s="2">
        <v>36</v>
      </c>
    </row>
    <row r="68" spans="1:28" x14ac:dyDescent="0.75">
      <c r="A68" s="3">
        <v>1</v>
      </c>
      <c r="B68" s="2">
        <f t="shared" si="7"/>
        <v>7</v>
      </c>
      <c r="C68" s="3">
        <v>6</v>
      </c>
      <c r="D68" s="3" t="s">
        <v>86</v>
      </c>
      <c r="G68" s="3">
        <v>2000</v>
      </c>
      <c r="P68" s="3">
        <v>1055</v>
      </c>
      <c r="S68" s="3" t="s">
        <v>118</v>
      </c>
      <c r="T68" s="2">
        <v>1000000</v>
      </c>
      <c r="X68" s="3" t="s">
        <v>60</v>
      </c>
      <c r="Y68" s="3" t="s">
        <v>19</v>
      </c>
      <c r="Z68" s="2">
        <f t="shared" si="3"/>
        <v>1</v>
      </c>
      <c r="AA68" s="2">
        <f t="shared" si="4"/>
        <v>1</v>
      </c>
      <c r="AB68" s="2">
        <v>37</v>
      </c>
    </row>
    <row r="69" spans="1:28" x14ac:dyDescent="0.75">
      <c r="A69" s="3">
        <v>1</v>
      </c>
      <c r="B69" s="2">
        <f t="shared" si="7"/>
        <v>7</v>
      </c>
      <c r="C69" s="3">
        <v>7</v>
      </c>
      <c r="D69" s="3" t="s">
        <v>86</v>
      </c>
      <c r="G69" s="3">
        <v>2000</v>
      </c>
      <c r="P69" s="3">
        <v>1056</v>
      </c>
      <c r="S69" s="3" t="s">
        <v>118</v>
      </c>
      <c r="T69" s="2">
        <v>1000000</v>
      </c>
      <c r="X69" s="3" t="s">
        <v>60</v>
      </c>
      <c r="Y69" s="3" t="s">
        <v>19</v>
      </c>
      <c r="Z69" s="2">
        <f t="shared" si="3"/>
        <v>1</v>
      </c>
      <c r="AA69" s="2">
        <f t="shared" si="4"/>
        <v>1</v>
      </c>
      <c r="AB69" s="2">
        <v>38</v>
      </c>
    </row>
    <row r="70" spans="1:28" x14ac:dyDescent="0.75">
      <c r="A70" s="3">
        <v>1</v>
      </c>
      <c r="B70" s="2">
        <f t="shared" si="7"/>
        <v>7</v>
      </c>
      <c r="C70" s="3">
        <v>8</v>
      </c>
      <c r="D70" s="3" t="s">
        <v>86</v>
      </c>
      <c r="G70" s="3">
        <v>2000</v>
      </c>
      <c r="P70" s="3">
        <v>1057</v>
      </c>
      <c r="S70" s="3" t="s">
        <v>118</v>
      </c>
      <c r="T70" s="2">
        <v>1000000</v>
      </c>
      <c r="X70" s="3" t="s">
        <v>60</v>
      </c>
      <c r="Y70" s="3" t="s">
        <v>19</v>
      </c>
      <c r="Z70" s="2">
        <f t="shared" si="3"/>
        <v>1</v>
      </c>
      <c r="AA70" s="2">
        <f t="shared" si="4"/>
        <v>1</v>
      </c>
      <c r="AB70" s="2">
        <v>39</v>
      </c>
    </row>
    <row r="71" spans="1:28" x14ac:dyDescent="0.75">
      <c r="A71" s="3">
        <v>1</v>
      </c>
      <c r="B71" s="2">
        <f t="shared" si="7"/>
        <v>7</v>
      </c>
      <c r="C71" s="3">
        <v>9</v>
      </c>
      <c r="D71" s="3" t="s">
        <v>86</v>
      </c>
      <c r="G71" s="3">
        <v>2000</v>
      </c>
      <c r="P71" s="3">
        <v>1058</v>
      </c>
      <c r="S71" s="3" t="s">
        <v>118</v>
      </c>
      <c r="T71" s="2">
        <v>1000000</v>
      </c>
      <c r="X71" s="3" t="s">
        <v>60</v>
      </c>
      <c r="Y71" s="3" t="s">
        <v>19</v>
      </c>
      <c r="Z71" s="2">
        <f t="shared" si="3"/>
        <v>1</v>
      </c>
      <c r="AA71" s="2">
        <f t="shared" si="4"/>
        <v>1</v>
      </c>
      <c r="AB71" s="2">
        <v>40</v>
      </c>
    </row>
    <row r="72" spans="1:28" x14ac:dyDescent="0.75">
      <c r="A72" s="3">
        <v>1</v>
      </c>
      <c r="B72" s="2">
        <f t="shared" si="7"/>
        <v>7</v>
      </c>
      <c r="C72" s="3">
        <v>10</v>
      </c>
      <c r="D72" s="3" t="s">
        <v>86</v>
      </c>
      <c r="G72" s="3">
        <v>2000</v>
      </c>
      <c r="P72" s="3">
        <v>1059</v>
      </c>
      <c r="S72" s="3" t="s">
        <v>118</v>
      </c>
      <c r="T72" s="2">
        <v>1000000</v>
      </c>
      <c r="X72" s="3" t="s">
        <v>60</v>
      </c>
      <c r="Y72" s="3" t="s">
        <v>19</v>
      </c>
      <c r="Z72" s="2">
        <f t="shared" si="3"/>
        <v>1</v>
      </c>
      <c r="AA72" s="2">
        <f t="shared" si="4"/>
        <v>1</v>
      </c>
      <c r="AB72" s="2">
        <v>41</v>
      </c>
    </row>
    <row r="73" spans="1:28" x14ac:dyDescent="0.75">
      <c r="A73" s="3">
        <v>1</v>
      </c>
      <c r="B73" s="2">
        <f t="shared" si="7"/>
        <v>7</v>
      </c>
      <c r="C73" s="3">
        <v>11</v>
      </c>
      <c r="D73" s="3" t="s">
        <v>86</v>
      </c>
      <c r="G73" s="3">
        <v>2000</v>
      </c>
      <c r="P73" s="3">
        <v>1060</v>
      </c>
      <c r="S73" s="3" t="s">
        <v>118</v>
      </c>
      <c r="T73" s="2">
        <v>1000000</v>
      </c>
      <c r="X73" s="3" t="s">
        <v>60</v>
      </c>
      <c r="Y73" s="3" t="s">
        <v>19</v>
      </c>
      <c r="Z73" s="2">
        <f t="shared" si="3"/>
        <v>1</v>
      </c>
      <c r="AA73" s="2">
        <f t="shared" si="4"/>
        <v>1</v>
      </c>
      <c r="AB73" s="2">
        <v>42</v>
      </c>
    </row>
    <row r="74" spans="1:28" x14ac:dyDescent="0.75">
      <c r="A74" s="3">
        <v>1</v>
      </c>
      <c r="B74" s="2">
        <f t="shared" si="7"/>
        <v>7</v>
      </c>
      <c r="C74" s="3">
        <v>12</v>
      </c>
      <c r="D74" s="3" t="s">
        <v>86</v>
      </c>
      <c r="G74" s="3">
        <v>2000</v>
      </c>
      <c r="P74" s="3">
        <v>1061</v>
      </c>
      <c r="S74" s="3" t="s">
        <v>118</v>
      </c>
      <c r="T74" s="2">
        <v>1000000</v>
      </c>
      <c r="X74" s="3" t="s">
        <v>60</v>
      </c>
      <c r="Y74" s="3" t="s">
        <v>19</v>
      </c>
      <c r="Z74" s="2">
        <f t="shared" si="3"/>
        <v>1</v>
      </c>
      <c r="AA74" s="2">
        <f t="shared" si="4"/>
        <v>1</v>
      </c>
      <c r="AB74" s="2">
        <v>43</v>
      </c>
    </row>
    <row r="75" spans="1:28" x14ac:dyDescent="0.75">
      <c r="A75" s="3">
        <v>1</v>
      </c>
      <c r="B75" s="2">
        <f t="shared" si="7"/>
        <v>7</v>
      </c>
      <c r="C75" s="3">
        <v>13</v>
      </c>
      <c r="D75" s="3" t="s">
        <v>86</v>
      </c>
      <c r="G75" s="3">
        <v>2000</v>
      </c>
      <c r="P75" s="3">
        <v>1062</v>
      </c>
      <c r="S75" s="3" t="s">
        <v>118</v>
      </c>
      <c r="T75" s="2">
        <v>1000000</v>
      </c>
      <c r="X75" s="3" t="s">
        <v>60</v>
      </c>
      <c r="Y75" s="3" t="s">
        <v>19</v>
      </c>
      <c r="Z75" s="2">
        <f t="shared" si="3"/>
        <v>1</v>
      </c>
      <c r="AA75" s="2">
        <f t="shared" si="4"/>
        <v>1</v>
      </c>
      <c r="AB75" s="2">
        <v>44</v>
      </c>
    </row>
    <row r="76" spans="1:28" x14ac:dyDescent="0.75">
      <c r="A76" s="3">
        <v>1</v>
      </c>
      <c r="B76" s="2">
        <f t="shared" si="7"/>
        <v>7</v>
      </c>
      <c r="C76" s="3">
        <v>14</v>
      </c>
      <c r="D76" s="3" t="s">
        <v>86</v>
      </c>
      <c r="G76" s="3">
        <v>2000</v>
      </c>
      <c r="P76" s="3">
        <v>1063</v>
      </c>
      <c r="S76" s="3" t="s">
        <v>118</v>
      </c>
      <c r="T76" s="2">
        <v>1000000</v>
      </c>
      <c r="X76" s="3" t="s">
        <v>60</v>
      </c>
      <c r="Y76" s="3" t="s">
        <v>19</v>
      </c>
      <c r="Z76" s="2">
        <f t="shared" si="3"/>
        <v>1</v>
      </c>
      <c r="AA76" s="2">
        <f t="shared" si="4"/>
        <v>1</v>
      </c>
      <c r="AB76" s="2">
        <v>45</v>
      </c>
    </row>
    <row r="77" spans="1:28" x14ac:dyDescent="0.75">
      <c r="A77" s="3">
        <v>1</v>
      </c>
      <c r="B77" s="2">
        <f t="shared" si="7"/>
        <v>7</v>
      </c>
      <c r="C77" s="3">
        <v>15</v>
      </c>
      <c r="D77" s="3" t="s">
        <v>86</v>
      </c>
      <c r="G77" s="3">
        <v>2000</v>
      </c>
      <c r="P77" s="3">
        <v>1064</v>
      </c>
      <c r="S77" s="3" t="s">
        <v>118</v>
      </c>
      <c r="T77" s="2">
        <v>1000000</v>
      </c>
      <c r="X77" s="3" t="s">
        <v>60</v>
      </c>
      <c r="Y77" s="3" t="s">
        <v>19</v>
      </c>
      <c r="Z77" s="2">
        <f t="shared" si="3"/>
        <v>1</v>
      </c>
      <c r="AA77" s="2">
        <f t="shared" si="4"/>
        <v>1</v>
      </c>
      <c r="AB77" s="2">
        <v>46</v>
      </c>
    </row>
    <row r="78" spans="1:28" x14ac:dyDescent="0.75">
      <c r="A78" s="3">
        <v>1</v>
      </c>
      <c r="B78" s="2">
        <f t="shared" si="7"/>
        <v>7</v>
      </c>
      <c r="C78" s="3">
        <v>16</v>
      </c>
      <c r="D78" s="3" t="s">
        <v>86</v>
      </c>
      <c r="G78" s="3">
        <v>2000</v>
      </c>
      <c r="P78" s="3">
        <v>1065</v>
      </c>
      <c r="S78" s="3" t="s">
        <v>118</v>
      </c>
      <c r="T78" s="2">
        <v>1000000</v>
      </c>
      <c r="X78" s="3" t="s">
        <v>60</v>
      </c>
      <c r="Y78" s="3" t="s">
        <v>19</v>
      </c>
      <c r="Z78" s="2">
        <f t="shared" si="3"/>
        <v>1</v>
      </c>
      <c r="AA78" s="2">
        <f t="shared" si="4"/>
        <v>1</v>
      </c>
      <c r="AB78" s="2">
        <v>47</v>
      </c>
    </row>
    <row r="79" spans="1:28" x14ac:dyDescent="0.75">
      <c r="A79" s="3">
        <v>1</v>
      </c>
      <c r="B79" s="2">
        <f t="shared" si="7"/>
        <v>7</v>
      </c>
      <c r="C79" s="3">
        <v>17</v>
      </c>
      <c r="D79" s="3" t="s">
        <v>86</v>
      </c>
      <c r="G79" s="3">
        <v>2000</v>
      </c>
      <c r="P79" s="3">
        <v>1066</v>
      </c>
      <c r="S79" s="3" t="s">
        <v>118</v>
      </c>
      <c r="T79" s="2">
        <v>1000000</v>
      </c>
      <c r="X79" s="3" t="s">
        <v>60</v>
      </c>
      <c r="Y79" s="3" t="s">
        <v>19</v>
      </c>
      <c r="Z79" s="2">
        <f t="shared" si="3"/>
        <v>1</v>
      </c>
      <c r="AA79" s="2">
        <f t="shared" si="4"/>
        <v>1</v>
      </c>
      <c r="AB79" s="2">
        <v>48</v>
      </c>
    </row>
    <row r="80" spans="1:28" x14ac:dyDescent="0.75">
      <c r="A80" s="3">
        <v>1</v>
      </c>
      <c r="B80" s="2">
        <f t="shared" si="7"/>
        <v>7</v>
      </c>
      <c r="C80" s="3">
        <v>18</v>
      </c>
      <c r="D80" s="3" t="s">
        <v>86</v>
      </c>
      <c r="G80" s="3">
        <v>2000</v>
      </c>
      <c r="P80" s="3">
        <v>1067</v>
      </c>
      <c r="S80" s="3" t="s">
        <v>118</v>
      </c>
      <c r="T80" s="2">
        <v>1000000</v>
      </c>
      <c r="X80" s="3" t="s">
        <v>60</v>
      </c>
      <c r="Y80" s="3" t="s">
        <v>19</v>
      </c>
      <c r="Z80" s="2">
        <f t="shared" si="3"/>
        <v>1</v>
      </c>
      <c r="AA80" s="2">
        <f t="shared" si="4"/>
        <v>1</v>
      </c>
      <c r="AB80" s="2">
        <v>49</v>
      </c>
    </row>
    <row r="81" spans="1:28" x14ac:dyDescent="0.75">
      <c r="A81" s="3">
        <v>1</v>
      </c>
      <c r="B81" s="2">
        <f t="shared" si="7"/>
        <v>7</v>
      </c>
      <c r="C81" s="3">
        <v>19</v>
      </c>
      <c r="D81" s="3" t="s">
        <v>86</v>
      </c>
      <c r="G81" s="3">
        <v>2000</v>
      </c>
      <c r="P81" s="3">
        <v>1068</v>
      </c>
      <c r="S81" s="3" t="s">
        <v>118</v>
      </c>
      <c r="T81" s="2">
        <v>1000000</v>
      </c>
      <c r="X81" s="3" t="s">
        <v>60</v>
      </c>
      <c r="Y81" s="3" t="s">
        <v>19</v>
      </c>
      <c r="Z81" s="2">
        <f t="shared" si="3"/>
        <v>1</v>
      </c>
      <c r="AA81" s="2">
        <f t="shared" si="4"/>
        <v>1</v>
      </c>
      <c r="AB81" s="2">
        <v>50</v>
      </c>
    </row>
    <row r="82" spans="1:28" x14ac:dyDescent="0.75">
      <c r="A82" s="3">
        <v>1</v>
      </c>
      <c r="B82" s="2">
        <f t="shared" si="7"/>
        <v>7</v>
      </c>
      <c r="C82" s="3">
        <v>20</v>
      </c>
      <c r="D82" s="3" t="s">
        <v>86</v>
      </c>
      <c r="G82" s="3">
        <v>2000</v>
      </c>
      <c r="P82" s="3">
        <v>1069</v>
      </c>
      <c r="S82" s="3" t="s">
        <v>118</v>
      </c>
      <c r="T82" s="2">
        <v>1000000</v>
      </c>
      <c r="X82" s="3" t="s">
        <v>60</v>
      </c>
      <c r="Y82" s="3" t="s">
        <v>19</v>
      </c>
      <c r="Z82" s="2">
        <f t="shared" si="3"/>
        <v>1</v>
      </c>
      <c r="AA82" s="2">
        <f t="shared" si="4"/>
        <v>1</v>
      </c>
      <c r="AB82" s="2">
        <v>51</v>
      </c>
    </row>
    <row r="83" spans="1:28" x14ac:dyDescent="0.75">
      <c r="A83" s="3">
        <v>1</v>
      </c>
      <c r="B83" s="2">
        <f t="shared" si="7"/>
        <v>7</v>
      </c>
      <c r="C83" s="3">
        <v>21</v>
      </c>
      <c r="D83" s="3" t="s">
        <v>86</v>
      </c>
      <c r="G83" s="3">
        <v>2000</v>
      </c>
      <c r="P83" s="3">
        <v>1070</v>
      </c>
      <c r="S83" s="3" t="s">
        <v>118</v>
      </c>
      <c r="T83" s="2">
        <v>1000000</v>
      </c>
      <c r="X83" s="3" t="s">
        <v>60</v>
      </c>
      <c r="Y83" s="3" t="s">
        <v>19</v>
      </c>
      <c r="Z83" s="2">
        <f t="shared" si="3"/>
        <v>1</v>
      </c>
      <c r="AA83" s="2">
        <f t="shared" si="4"/>
        <v>1</v>
      </c>
      <c r="AB83" s="2">
        <v>52</v>
      </c>
    </row>
    <row r="84" spans="1:28" x14ac:dyDescent="0.75">
      <c r="A84" s="3">
        <v>1</v>
      </c>
      <c r="B84" s="2">
        <f t="shared" si="7"/>
        <v>7</v>
      </c>
      <c r="C84" s="3">
        <v>22</v>
      </c>
      <c r="D84" s="3" t="s">
        <v>86</v>
      </c>
      <c r="G84" s="3">
        <v>2000</v>
      </c>
      <c r="P84" s="3">
        <v>1071</v>
      </c>
      <c r="S84" s="3" t="s">
        <v>118</v>
      </c>
      <c r="T84" s="2">
        <v>1000000</v>
      </c>
      <c r="X84" s="3" t="s">
        <v>60</v>
      </c>
      <c r="Y84" s="3" t="s">
        <v>19</v>
      </c>
      <c r="Z84" s="2">
        <f t="shared" si="3"/>
        <v>1</v>
      </c>
      <c r="AA84" s="2">
        <f t="shared" si="4"/>
        <v>1</v>
      </c>
      <c r="AB84" s="2">
        <v>53</v>
      </c>
    </row>
    <row r="85" spans="1:28" x14ac:dyDescent="0.75">
      <c r="A85" s="3">
        <v>1</v>
      </c>
      <c r="B85" s="2">
        <f t="shared" si="7"/>
        <v>7</v>
      </c>
      <c r="C85" s="3">
        <v>23</v>
      </c>
      <c r="D85" s="3" t="s">
        <v>86</v>
      </c>
      <c r="G85" s="3">
        <v>2000</v>
      </c>
      <c r="P85" s="3">
        <v>1072</v>
      </c>
      <c r="S85" s="3" t="s">
        <v>118</v>
      </c>
      <c r="T85" s="2">
        <v>1000000</v>
      </c>
      <c r="X85" s="3" t="s">
        <v>60</v>
      </c>
      <c r="Y85" s="3" t="s">
        <v>19</v>
      </c>
      <c r="Z85" s="2">
        <f t="shared" si="3"/>
        <v>1</v>
      </c>
      <c r="AA85" s="2">
        <f t="shared" si="4"/>
        <v>1</v>
      </c>
      <c r="AB85" s="2">
        <v>54</v>
      </c>
    </row>
    <row r="86" spans="1:28" x14ac:dyDescent="0.75">
      <c r="A86" s="3">
        <v>1</v>
      </c>
      <c r="B86" s="2">
        <f t="shared" si="7"/>
        <v>7</v>
      </c>
      <c r="C86" s="3">
        <v>24</v>
      </c>
      <c r="D86" s="3" t="s">
        <v>86</v>
      </c>
      <c r="G86" s="3">
        <v>2000</v>
      </c>
      <c r="P86" s="3">
        <v>1073</v>
      </c>
      <c r="S86" s="3" t="s">
        <v>118</v>
      </c>
      <c r="T86" s="2">
        <v>1000000</v>
      </c>
      <c r="X86" s="3" t="s">
        <v>60</v>
      </c>
      <c r="Y86" s="3" t="s">
        <v>19</v>
      </c>
      <c r="Z86" s="2">
        <f t="shared" si="3"/>
        <v>1</v>
      </c>
      <c r="AA86" s="2">
        <f t="shared" si="4"/>
        <v>1</v>
      </c>
      <c r="AB86" s="2">
        <v>55</v>
      </c>
    </row>
    <row r="87" spans="1:28" x14ac:dyDescent="0.75">
      <c r="A87" s="3">
        <v>1</v>
      </c>
      <c r="B87" s="2">
        <f t="shared" si="7"/>
        <v>7</v>
      </c>
      <c r="C87" s="3">
        <v>25</v>
      </c>
      <c r="D87" s="3" t="s">
        <v>86</v>
      </c>
      <c r="G87" s="3">
        <v>2000</v>
      </c>
      <c r="P87" s="3">
        <v>1074</v>
      </c>
      <c r="S87" s="3" t="s">
        <v>118</v>
      </c>
      <c r="T87" s="2">
        <v>1000000</v>
      </c>
      <c r="X87" s="3" t="s">
        <v>60</v>
      </c>
      <c r="Y87" s="3" t="s">
        <v>19</v>
      </c>
      <c r="Z87" s="2">
        <f t="shared" si="3"/>
        <v>1</v>
      </c>
      <c r="AA87" s="2">
        <f t="shared" si="4"/>
        <v>1</v>
      </c>
      <c r="AB87" s="2">
        <v>56</v>
      </c>
    </row>
    <row r="88" spans="1:28" x14ac:dyDescent="0.75">
      <c r="A88" s="3">
        <v>1</v>
      </c>
      <c r="B88" s="2">
        <f t="shared" si="7"/>
        <v>7</v>
      </c>
      <c r="C88" s="3">
        <v>26</v>
      </c>
      <c r="D88" s="3" t="s">
        <v>86</v>
      </c>
      <c r="G88" s="3">
        <v>2000</v>
      </c>
      <c r="P88" s="3">
        <v>1075</v>
      </c>
      <c r="S88" s="3" t="s">
        <v>118</v>
      </c>
      <c r="T88" s="2">
        <v>1000000</v>
      </c>
      <c r="X88" s="3" t="s">
        <v>60</v>
      </c>
      <c r="Y88" s="3" t="s">
        <v>19</v>
      </c>
      <c r="Z88" s="2">
        <f t="shared" si="3"/>
        <v>1</v>
      </c>
      <c r="AA88" s="2">
        <f t="shared" si="4"/>
        <v>1</v>
      </c>
      <c r="AB88" s="2">
        <v>57</v>
      </c>
    </row>
    <row r="89" spans="1:28" x14ac:dyDescent="0.75">
      <c r="A89" s="3">
        <v>1</v>
      </c>
      <c r="B89" s="2">
        <f t="shared" si="7"/>
        <v>7</v>
      </c>
      <c r="C89" s="3">
        <v>27</v>
      </c>
      <c r="D89" s="3" t="s">
        <v>86</v>
      </c>
      <c r="G89" s="3">
        <v>2000</v>
      </c>
      <c r="P89" s="3">
        <v>1076</v>
      </c>
      <c r="S89" s="3" t="s">
        <v>118</v>
      </c>
      <c r="T89" s="2">
        <v>1000000</v>
      </c>
      <c r="X89" s="3" t="s">
        <v>60</v>
      </c>
      <c r="Y89" s="3" t="s">
        <v>19</v>
      </c>
      <c r="Z89" s="2">
        <f t="shared" si="3"/>
        <v>1</v>
      </c>
      <c r="AA89" s="2">
        <f t="shared" si="4"/>
        <v>1</v>
      </c>
      <c r="AB89" s="2">
        <v>58</v>
      </c>
    </row>
    <row r="90" spans="1:28" x14ac:dyDescent="0.75">
      <c r="A90" s="3">
        <v>1</v>
      </c>
      <c r="B90" s="2">
        <f t="shared" si="7"/>
        <v>7</v>
      </c>
      <c r="C90" s="3">
        <v>28</v>
      </c>
      <c r="D90" s="3" t="s">
        <v>86</v>
      </c>
      <c r="G90" s="3">
        <v>2000</v>
      </c>
      <c r="P90" s="3">
        <v>1077</v>
      </c>
      <c r="S90" s="3" t="s">
        <v>118</v>
      </c>
      <c r="T90" s="2">
        <v>1000000</v>
      </c>
      <c r="X90" s="3" t="s">
        <v>60</v>
      </c>
      <c r="Y90" s="3" t="s">
        <v>19</v>
      </c>
      <c r="Z90" s="2">
        <f t="shared" si="3"/>
        <v>1</v>
      </c>
      <c r="AA90" s="2">
        <f t="shared" si="4"/>
        <v>1</v>
      </c>
      <c r="AB90" s="2">
        <v>59</v>
      </c>
    </row>
    <row r="91" spans="1:28" x14ac:dyDescent="0.75">
      <c r="A91" s="3">
        <v>1</v>
      </c>
      <c r="B91" s="2">
        <f t="shared" si="7"/>
        <v>7</v>
      </c>
      <c r="C91" s="3">
        <v>29</v>
      </c>
      <c r="D91" s="3" t="s">
        <v>86</v>
      </c>
      <c r="G91" s="3">
        <v>2000</v>
      </c>
      <c r="P91" s="3">
        <v>1078</v>
      </c>
      <c r="S91" s="3" t="s">
        <v>118</v>
      </c>
      <c r="T91" s="2">
        <v>1000000</v>
      </c>
      <c r="X91" s="3" t="s">
        <v>60</v>
      </c>
      <c r="Y91" s="3" t="s">
        <v>19</v>
      </c>
      <c r="Z91" s="2">
        <f t="shared" si="3"/>
        <v>1</v>
      </c>
      <c r="AA91" s="2">
        <f t="shared" si="4"/>
        <v>1</v>
      </c>
      <c r="AB91" s="2">
        <v>60</v>
      </c>
    </row>
    <row r="92" spans="1:28" x14ac:dyDescent="0.75">
      <c r="A92" s="3">
        <v>1</v>
      </c>
      <c r="B92" s="2">
        <f t="shared" si="7"/>
        <v>7</v>
      </c>
      <c r="C92" s="3">
        <v>30</v>
      </c>
      <c r="D92" s="3" t="s">
        <v>86</v>
      </c>
      <c r="G92" s="3">
        <v>2000</v>
      </c>
      <c r="P92" s="3">
        <v>1079</v>
      </c>
      <c r="S92" s="3" t="s">
        <v>118</v>
      </c>
      <c r="T92" s="2">
        <v>1000000</v>
      </c>
      <c r="X92" s="3" t="s">
        <v>60</v>
      </c>
      <c r="Y92" s="3" t="s">
        <v>19</v>
      </c>
      <c r="Z92" s="2">
        <f t="shared" si="3"/>
        <v>1</v>
      </c>
      <c r="AA92" s="2">
        <f t="shared" si="4"/>
        <v>1</v>
      </c>
      <c r="AB92" s="2">
        <v>61</v>
      </c>
    </row>
    <row r="93" spans="1:28" x14ac:dyDescent="0.75">
      <c r="A93" s="3">
        <v>1</v>
      </c>
      <c r="B93" s="2">
        <f t="shared" si="7"/>
        <v>7</v>
      </c>
      <c r="C93" s="3">
        <v>31</v>
      </c>
      <c r="D93" s="3" t="s">
        <v>86</v>
      </c>
      <c r="G93" s="3">
        <v>2000</v>
      </c>
      <c r="P93" s="3">
        <v>1080</v>
      </c>
      <c r="S93" s="3" t="s">
        <v>118</v>
      </c>
      <c r="T93" s="2">
        <v>1000000</v>
      </c>
      <c r="X93" s="3" t="s">
        <v>60</v>
      </c>
      <c r="Y93" s="3" t="s">
        <v>19</v>
      </c>
      <c r="Z93" s="2">
        <f t="shared" si="3"/>
        <v>1</v>
      </c>
      <c r="AA93" s="2">
        <f t="shared" si="4"/>
        <v>1</v>
      </c>
      <c r="AB93" s="2">
        <v>62</v>
      </c>
    </row>
    <row r="94" spans="1:28" x14ac:dyDescent="0.75">
      <c r="A94" s="3">
        <v>1</v>
      </c>
      <c r="B94" s="2">
        <f t="shared" si="7"/>
        <v>7</v>
      </c>
      <c r="C94" s="3">
        <v>32</v>
      </c>
      <c r="D94" s="3" t="s">
        <v>86</v>
      </c>
      <c r="G94" s="3">
        <v>2000</v>
      </c>
      <c r="P94" s="3">
        <v>1081</v>
      </c>
      <c r="S94" s="3" t="s">
        <v>118</v>
      </c>
      <c r="T94" s="2">
        <v>1000000</v>
      </c>
      <c r="X94" s="3" t="s">
        <v>60</v>
      </c>
      <c r="Y94" s="3" t="s">
        <v>19</v>
      </c>
      <c r="Z94" s="2">
        <f t="shared" si="3"/>
        <v>1</v>
      </c>
      <c r="AA94" s="2">
        <f t="shared" si="4"/>
        <v>1</v>
      </c>
      <c r="AB94" s="2">
        <v>63</v>
      </c>
    </row>
    <row r="95" spans="1:28" x14ac:dyDescent="0.75">
      <c r="A95" s="3">
        <v>1</v>
      </c>
      <c r="B95" s="2">
        <f t="shared" si="7"/>
        <v>7</v>
      </c>
      <c r="C95" s="3">
        <v>33</v>
      </c>
      <c r="D95" s="3" t="s">
        <v>86</v>
      </c>
      <c r="G95" s="3">
        <v>2000</v>
      </c>
      <c r="P95" s="3">
        <v>1082</v>
      </c>
      <c r="S95" s="3" t="s">
        <v>118</v>
      </c>
      <c r="T95" s="2">
        <v>1000000</v>
      </c>
      <c r="X95" s="3" t="s">
        <v>60</v>
      </c>
      <c r="Y95" s="3" t="s">
        <v>19</v>
      </c>
      <c r="Z95" s="2">
        <f t="shared" si="3"/>
        <v>1</v>
      </c>
      <c r="AA95" s="2">
        <f t="shared" si="4"/>
        <v>1</v>
      </c>
      <c r="AB95" s="2">
        <v>64</v>
      </c>
    </row>
    <row r="96" spans="1:28" x14ac:dyDescent="0.75">
      <c r="A96" s="3">
        <v>1</v>
      </c>
      <c r="B96" s="2">
        <f t="shared" si="7"/>
        <v>7</v>
      </c>
      <c r="C96" s="3">
        <v>34</v>
      </c>
      <c r="D96" s="3" t="s">
        <v>86</v>
      </c>
      <c r="G96" s="3">
        <v>2000</v>
      </c>
      <c r="P96" s="3">
        <v>1083</v>
      </c>
      <c r="S96" s="3" t="s">
        <v>118</v>
      </c>
      <c r="T96" s="2">
        <v>1000000</v>
      </c>
      <c r="X96" s="3" t="s">
        <v>60</v>
      </c>
      <c r="Y96" s="3" t="s">
        <v>19</v>
      </c>
      <c r="Z96" s="2">
        <f t="shared" si="3"/>
        <v>1</v>
      </c>
      <c r="AA96" s="2">
        <f t="shared" si="4"/>
        <v>1</v>
      </c>
      <c r="AB96" s="2">
        <v>65</v>
      </c>
    </row>
    <row r="97" spans="1:28" x14ac:dyDescent="0.75">
      <c r="A97" s="3">
        <v>1</v>
      </c>
      <c r="B97" s="2">
        <f t="shared" si="7"/>
        <v>7</v>
      </c>
      <c r="C97" s="3">
        <v>35</v>
      </c>
      <c r="D97" s="3" t="s">
        <v>86</v>
      </c>
      <c r="G97" s="3">
        <v>2000</v>
      </c>
      <c r="P97" s="3">
        <v>1084</v>
      </c>
      <c r="S97" s="3" t="s">
        <v>118</v>
      </c>
      <c r="T97" s="2">
        <v>1000000</v>
      </c>
      <c r="X97" s="3" t="s">
        <v>60</v>
      </c>
      <c r="Y97" s="3" t="s">
        <v>19</v>
      </c>
      <c r="Z97" s="2">
        <f t="shared" si="3"/>
        <v>1</v>
      </c>
      <c r="AA97" s="2">
        <f t="shared" si="4"/>
        <v>1</v>
      </c>
      <c r="AB97" s="2">
        <v>66</v>
      </c>
    </row>
    <row r="98" spans="1:28" x14ac:dyDescent="0.75">
      <c r="A98" s="3">
        <v>1</v>
      </c>
      <c r="B98" s="2">
        <f t="shared" si="7"/>
        <v>7</v>
      </c>
      <c r="C98" s="3">
        <v>36</v>
      </c>
      <c r="D98" s="3" t="s">
        <v>86</v>
      </c>
      <c r="G98" s="3">
        <v>2000</v>
      </c>
      <c r="P98" s="3">
        <v>1085</v>
      </c>
      <c r="S98" s="3" t="s">
        <v>118</v>
      </c>
      <c r="T98" s="2">
        <v>1000000</v>
      </c>
      <c r="X98" s="3" t="s">
        <v>60</v>
      </c>
      <c r="Y98" s="3" t="s">
        <v>19</v>
      </c>
      <c r="Z98" s="2">
        <f t="shared" si="3"/>
        <v>1</v>
      </c>
      <c r="AA98" s="2">
        <f t="shared" si="4"/>
        <v>1</v>
      </c>
      <c r="AB98" s="2">
        <v>67</v>
      </c>
    </row>
    <row r="99" spans="1:28" x14ac:dyDescent="0.75">
      <c r="A99" s="3">
        <v>1</v>
      </c>
      <c r="B99" s="2">
        <f t="shared" si="7"/>
        <v>7</v>
      </c>
      <c r="C99" s="3">
        <v>37</v>
      </c>
      <c r="D99" s="3" t="s">
        <v>86</v>
      </c>
      <c r="G99" s="3">
        <v>2000</v>
      </c>
      <c r="P99" s="3">
        <v>1086</v>
      </c>
      <c r="S99" s="3" t="s">
        <v>118</v>
      </c>
      <c r="T99" s="2">
        <v>1000000</v>
      </c>
      <c r="X99" s="3" t="s">
        <v>60</v>
      </c>
      <c r="Y99" s="3" t="s">
        <v>19</v>
      </c>
      <c r="Z99" s="2">
        <f t="shared" si="3"/>
        <v>1</v>
      </c>
      <c r="AA99" s="2">
        <f t="shared" si="4"/>
        <v>1</v>
      </c>
      <c r="AB99" s="2">
        <v>68</v>
      </c>
    </row>
    <row r="100" spans="1:28" x14ac:dyDescent="0.75">
      <c r="A100" s="3">
        <v>1</v>
      </c>
      <c r="B100" s="2">
        <f t="shared" si="7"/>
        <v>7</v>
      </c>
      <c r="C100" s="3">
        <v>38</v>
      </c>
      <c r="D100" s="3" t="s">
        <v>86</v>
      </c>
      <c r="G100" s="3">
        <v>2000</v>
      </c>
      <c r="P100" s="3">
        <v>1087</v>
      </c>
      <c r="S100" s="3" t="s">
        <v>118</v>
      </c>
      <c r="T100" s="2">
        <v>1000000</v>
      </c>
      <c r="X100" s="3" t="s">
        <v>60</v>
      </c>
      <c r="Y100" s="3" t="s">
        <v>19</v>
      </c>
      <c r="Z100" s="2">
        <f t="shared" si="3"/>
        <v>1</v>
      </c>
      <c r="AA100" s="2">
        <f t="shared" si="4"/>
        <v>1</v>
      </c>
      <c r="AB100" s="2">
        <v>69</v>
      </c>
    </row>
    <row r="101" spans="1:28" x14ac:dyDescent="0.75">
      <c r="A101" s="3">
        <v>1</v>
      </c>
      <c r="B101" s="2">
        <f t="shared" si="7"/>
        <v>7</v>
      </c>
      <c r="C101" s="3">
        <v>39</v>
      </c>
      <c r="D101" s="3" t="s">
        <v>86</v>
      </c>
      <c r="G101" s="3">
        <v>2000</v>
      </c>
      <c r="P101" s="3">
        <v>1088</v>
      </c>
      <c r="S101" s="3" t="s">
        <v>118</v>
      </c>
      <c r="T101" s="2">
        <v>1000000</v>
      </c>
      <c r="X101" s="3" t="s">
        <v>60</v>
      </c>
      <c r="Y101" s="3" t="s">
        <v>19</v>
      </c>
      <c r="Z101" s="2">
        <f t="shared" si="3"/>
        <v>1</v>
      </c>
      <c r="AA101" s="2">
        <f t="shared" si="4"/>
        <v>1</v>
      </c>
      <c r="AB101" s="2">
        <v>70</v>
      </c>
    </row>
    <row r="102" spans="1:28" x14ac:dyDescent="0.75">
      <c r="A102" s="3">
        <v>1</v>
      </c>
      <c r="B102" s="2">
        <f t="shared" si="7"/>
        <v>7</v>
      </c>
      <c r="C102" s="3">
        <v>40</v>
      </c>
      <c r="D102" s="3" t="s">
        <v>86</v>
      </c>
      <c r="G102" s="3">
        <v>2000</v>
      </c>
      <c r="P102" s="3">
        <v>1089</v>
      </c>
      <c r="S102" s="3" t="s">
        <v>118</v>
      </c>
      <c r="T102" s="2">
        <v>1000000</v>
      </c>
      <c r="X102" s="3" t="s">
        <v>60</v>
      </c>
      <c r="Y102" s="3" t="s">
        <v>19</v>
      </c>
      <c r="Z102" s="2">
        <f t="shared" si="3"/>
        <v>1</v>
      </c>
      <c r="AA102" s="2">
        <f t="shared" si="4"/>
        <v>1</v>
      </c>
      <c r="AB102" s="2">
        <v>71</v>
      </c>
    </row>
    <row r="103" spans="1:28" x14ac:dyDescent="0.75">
      <c r="A103" s="3">
        <v>1</v>
      </c>
      <c r="B103" s="2">
        <f t="shared" si="7"/>
        <v>7</v>
      </c>
      <c r="C103" s="3">
        <v>41</v>
      </c>
      <c r="D103" s="3" t="s">
        <v>86</v>
      </c>
      <c r="G103" s="3">
        <v>2000</v>
      </c>
      <c r="P103" s="3">
        <v>1090</v>
      </c>
      <c r="S103" s="3" t="s">
        <v>118</v>
      </c>
      <c r="T103" s="2">
        <v>1000000</v>
      </c>
      <c r="X103" s="3" t="s">
        <v>60</v>
      </c>
      <c r="Y103" s="3" t="s">
        <v>19</v>
      </c>
      <c r="Z103" s="2">
        <f t="shared" si="3"/>
        <v>1</v>
      </c>
      <c r="AA103" s="2">
        <f t="shared" si="4"/>
        <v>1</v>
      </c>
      <c r="AB103" s="2">
        <v>72</v>
      </c>
    </row>
    <row r="104" spans="1:28" x14ac:dyDescent="0.75">
      <c r="A104" s="3">
        <v>1</v>
      </c>
      <c r="B104" s="2">
        <f t="shared" si="7"/>
        <v>7</v>
      </c>
      <c r="C104" s="3">
        <v>42</v>
      </c>
      <c r="D104" s="3" t="s">
        <v>86</v>
      </c>
      <c r="G104" s="3">
        <v>2000</v>
      </c>
      <c r="P104" s="3">
        <v>1091</v>
      </c>
      <c r="S104" s="3" t="s">
        <v>118</v>
      </c>
      <c r="T104" s="2">
        <v>1000000</v>
      </c>
      <c r="X104" s="3" t="s">
        <v>60</v>
      </c>
      <c r="Y104" s="3" t="s">
        <v>19</v>
      </c>
      <c r="Z104" s="2">
        <f t="shared" si="3"/>
        <v>1</v>
      </c>
      <c r="AA104" s="2">
        <f t="shared" si="4"/>
        <v>1</v>
      </c>
      <c r="AB104" s="2">
        <v>73</v>
      </c>
    </row>
    <row r="105" spans="1:28" x14ac:dyDescent="0.75">
      <c r="A105" s="3">
        <v>1</v>
      </c>
      <c r="B105" s="2">
        <f t="shared" si="7"/>
        <v>7</v>
      </c>
      <c r="C105" s="3">
        <v>43</v>
      </c>
      <c r="D105" s="3" t="s">
        <v>86</v>
      </c>
      <c r="G105" s="3">
        <v>2000</v>
      </c>
      <c r="P105" s="3">
        <v>1092</v>
      </c>
      <c r="S105" s="3" t="s">
        <v>118</v>
      </c>
      <c r="T105" s="2">
        <v>1000000</v>
      </c>
      <c r="X105" s="3" t="s">
        <v>60</v>
      </c>
      <c r="Y105" s="3" t="s">
        <v>19</v>
      </c>
      <c r="Z105" s="2">
        <f t="shared" si="3"/>
        <v>1</v>
      </c>
      <c r="AA105" s="2">
        <f t="shared" si="4"/>
        <v>1</v>
      </c>
      <c r="AB105" s="2">
        <v>74</v>
      </c>
    </row>
    <row r="106" spans="1:28" x14ac:dyDescent="0.75">
      <c r="A106" s="3">
        <v>1</v>
      </c>
      <c r="B106" s="2">
        <f t="shared" si="7"/>
        <v>7</v>
      </c>
      <c r="C106" s="3">
        <v>44</v>
      </c>
      <c r="D106" s="3" t="s">
        <v>86</v>
      </c>
      <c r="G106" s="3">
        <v>2000</v>
      </c>
      <c r="P106" s="3">
        <v>1093</v>
      </c>
      <c r="S106" s="3" t="s">
        <v>118</v>
      </c>
      <c r="T106" s="2">
        <v>1000000</v>
      </c>
      <c r="X106" s="3" t="s">
        <v>60</v>
      </c>
      <c r="Y106" s="3" t="s">
        <v>19</v>
      </c>
      <c r="Z106" s="2">
        <f t="shared" si="3"/>
        <v>1</v>
      </c>
      <c r="AA106" s="2">
        <f t="shared" si="4"/>
        <v>1</v>
      </c>
      <c r="AB106" s="2">
        <v>75</v>
      </c>
    </row>
    <row r="107" spans="1:28" x14ac:dyDescent="0.75">
      <c r="A107" s="3">
        <v>1</v>
      </c>
      <c r="B107" s="2">
        <f t="shared" si="7"/>
        <v>7</v>
      </c>
      <c r="C107" s="3">
        <v>45</v>
      </c>
      <c r="D107" s="3" t="s">
        <v>86</v>
      </c>
      <c r="G107" s="3">
        <v>2000</v>
      </c>
      <c r="P107" s="3">
        <v>1094</v>
      </c>
      <c r="S107" s="3" t="s">
        <v>118</v>
      </c>
      <c r="T107" s="2">
        <v>1000000</v>
      </c>
      <c r="X107" s="3" t="s">
        <v>60</v>
      </c>
      <c r="Y107" s="3" t="s">
        <v>19</v>
      </c>
      <c r="Z107" s="2">
        <f t="shared" si="3"/>
        <v>1</v>
      </c>
      <c r="AA107" s="2">
        <f t="shared" si="4"/>
        <v>1</v>
      </c>
      <c r="AB107" s="2">
        <v>76</v>
      </c>
    </row>
    <row r="108" spans="1:28" x14ac:dyDescent="0.75">
      <c r="A108" s="3">
        <v>1</v>
      </c>
      <c r="B108" s="2">
        <f t="shared" si="7"/>
        <v>7</v>
      </c>
      <c r="C108" s="3">
        <v>46</v>
      </c>
      <c r="D108" s="3" t="s">
        <v>86</v>
      </c>
      <c r="G108" s="3">
        <v>2000</v>
      </c>
      <c r="P108" s="3">
        <v>1095</v>
      </c>
      <c r="S108" s="3" t="s">
        <v>118</v>
      </c>
      <c r="T108" s="2">
        <v>1000000</v>
      </c>
      <c r="X108" s="3" t="s">
        <v>60</v>
      </c>
      <c r="Y108" s="3" t="s">
        <v>19</v>
      </c>
      <c r="Z108" s="2">
        <f t="shared" si="3"/>
        <v>1</v>
      </c>
      <c r="AA108" s="2">
        <f t="shared" si="4"/>
        <v>1</v>
      </c>
      <c r="AB108" s="2">
        <v>77</v>
      </c>
    </row>
    <row r="109" spans="1:28" x14ac:dyDescent="0.75">
      <c r="A109" s="3">
        <v>1</v>
      </c>
      <c r="B109" s="2">
        <f t="shared" si="7"/>
        <v>7</v>
      </c>
      <c r="C109" s="3">
        <v>47</v>
      </c>
      <c r="D109" s="3" t="s">
        <v>86</v>
      </c>
      <c r="G109" s="3">
        <v>2000</v>
      </c>
      <c r="P109" s="3">
        <v>1096</v>
      </c>
      <c r="S109" s="3" t="s">
        <v>118</v>
      </c>
      <c r="T109" s="2">
        <v>1000000</v>
      </c>
      <c r="X109" s="3" t="s">
        <v>60</v>
      </c>
      <c r="Y109" s="3" t="s">
        <v>19</v>
      </c>
      <c r="Z109" s="2">
        <f t="shared" si="3"/>
        <v>1</v>
      </c>
      <c r="AA109" s="2">
        <f t="shared" si="4"/>
        <v>1</v>
      </c>
      <c r="AB109" s="2">
        <v>78</v>
      </c>
    </row>
    <row r="110" spans="1:28" x14ac:dyDescent="0.75">
      <c r="A110" s="3">
        <v>1</v>
      </c>
      <c r="B110" s="2">
        <f t="shared" si="7"/>
        <v>7</v>
      </c>
      <c r="C110" s="3">
        <v>48</v>
      </c>
      <c r="D110" s="3" t="s">
        <v>86</v>
      </c>
      <c r="G110" s="3">
        <v>2000</v>
      </c>
      <c r="P110" s="3">
        <v>1097</v>
      </c>
      <c r="S110" s="3" t="s">
        <v>118</v>
      </c>
      <c r="T110" s="2">
        <v>1000000</v>
      </c>
      <c r="X110" s="3" t="s">
        <v>60</v>
      </c>
      <c r="Y110" s="3" t="s">
        <v>19</v>
      </c>
      <c r="Z110" s="2">
        <f t="shared" si="3"/>
        <v>1</v>
      </c>
      <c r="AA110" s="2">
        <f t="shared" si="4"/>
        <v>1</v>
      </c>
      <c r="AB110" s="2">
        <v>79</v>
      </c>
    </row>
    <row r="111" spans="1:28" x14ac:dyDescent="0.75">
      <c r="A111" s="3">
        <v>1</v>
      </c>
      <c r="B111" s="2">
        <f t="shared" si="7"/>
        <v>7</v>
      </c>
      <c r="C111" s="3">
        <v>49</v>
      </c>
      <c r="D111" s="3" t="s">
        <v>86</v>
      </c>
      <c r="G111" s="3">
        <v>2000</v>
      </c>
      <c r="P111" s="3">
        <v>1098</v>
      </c>
      <c r="S111" s="3" t="s">
        <v>118</v>
      </c>
      <c r="T111" s="2">
        <v>1000000</v>
      </c>
      <c r="X111" s="3" t="s">
        <v>60</v>
      </c>
      <c r="Y111" s="3" t="s">
        <v>19</v>
      </c>
      <c r="Z111" s="2">
        <f t="shared" si="3"/>
        <v>1</v>
      </c>
      <c r="AA111" s="2">
        <f t="shared" si="4"/>
        <v>1</v>
      </c>
      <c r="AB111" s="2">
        <v>80</v>
      </c>
    </row>
    <row r="112" spans="1:28" x14ac:dyDescent="0.75">
      <c r="A112" s="3">
        <v>1</v>
      </c>
      <c r="B112" s="2">
        <f t="shared" si="7"/>
        <v>7</v>
      </c>
      <c r="C112" s="3">
        <v>50</v>
      </c>
      <c r="D112" s="3" t="s">
        <v>86</v>
      </c>
      <c r="G112" s="3">
        <v>2000</v>
      </c>
      <c r="P112" s="3">
        <v>1099</v>
      </c>
      <c r="S112" s="3" t="s">
        <v>118</v>
      </c>
      <c r="T112" s="2">
        <v>1000000</v>
      </c>
      <c r="X112" s="3" t="s">
        <v>60</v>
      </c>
      <c r="Y112" s="3" t="s">
        <v>19</v>
      </c>
      <c r="Z112" s="2">
        <f t="shared" si="3"/>
        <v>1</v>
      </c>
      <c r="AA112" s="2">
        <f t="shared" si="4"/>
        <v>1</v>
      </c>
      <c r="AB112" s="2">
        <v>81</v>
      </c>
    </row>
    <row r="113" spans="1:28" x14ac:dyDescent="0.75">
      <c r="A113" s="3">
        <v>1</v>
      </c>
      <c r="B113" s="2">
        <f t="shared" si="7"/>
        <v>8</v>
      </c>
      <c r="C113" s="3">
        <v>1</v>
      </c>
      <c r="D113" s="3" t="s">
        <v>86</v>
      </c>
      <c r="G113" s="3">
        <v>2000</v>
      </c>
      <c r="P113" s="3">
        <v>1100</v>
      </c>
      <c r="S113" s="3" t="s">
        <v>118</v>
      </c>
      <c r="T113" s="2">
        <v>1000000</v>
      </c>
      <c r="X113" s="3" t="s">
        <v>60</v>
      </c>
      <c r="Y113" s="3" t="s">
        <v>19</v>
      </c>
      <c r="Z113" s="2">
        <f t="shared" si="3"/>
        <v>1</v>
      </c>
      <c r="AA113" s="2">
        <f t="shared" si="4"/>
        <v>1</v>
      </c>
      <c r="AB113" s="2">
        <v>82</v>
      </c>
    </row>
    <row r="114" spans="1:28" x14ac:dyDescent="0.75">
      <c r="A114" s="3">
        <v>1</v>
      </c>
      <c r="B114" s="2">
        <f t="shared" si="7"/>
        <v>8</v>
      </c>
      <c r="C114" s="3">
        <v>2</v>
      </c>
      <c r="D114" s="3" t="s">
        <v>86</v>
      </c>
      <c r="G114" s="3">
        <v>2000</v>
      </c>
      <c r="P114" s="3">
        <v>1101</v>
      </c>
      <c r="S114" s="3" t="s">
        <v>118</v>
      </c>
      <c r="T114" s="2">
        <v>1000000</v>
      </c>
      <c r="X114" s="3" t="s">
        <v>60</v>
      </c>
      <c r="Y114" s="3" t="s">
        <v>19</v>
      </c>
      <c r="Z114" s="2">
        <f t="shared" si="3"/>
        <v>1</v>
      </c>
      <c r="AA114" s="2">
        <f t="shared" si="4"/>
        <v>1</v>
      </c>
      <c r="AB114" s="2">
        <v>83</v>
      </c>
    </row>
    <row r="115" spans="1:28" x14ac:dyDescent="0.75">
      <c r="A115" s="3">
        <v>1</v>
      </c>
      <c r="B115" s="2">
        <f t="shared" si="7"/>
        <v>8</v>
      </c>
      <c r="C115" s="3">
        <v>3</v>
      </c>
      <c r="D115" s="3" t="s">
        <v>86</v>
      </c>
      <c r="G115" s="3">
        <v>2000</v>
      </c>
      <c r="P115" s="3">
        <v>1102</v>
      </c>
      <c r="S115" s="3" t="s">
        <v>118</v>
      </c>
      <c r="T115" s="2">
        <v>1000000</v>
      </c>
      <c r="X115" s="3" t="s">
        <v>60</v>
      </c>
      <c r="Y115" s="3" t="s">
        <v>19</v>
      </c>
      <c r="Z115" s="2">
        <f t="shared" si="3"/>
        <v>1</v>
      </c>
      <c r="AA115" s="2">
        <f t="shared" si="4"/>
        <v>1</v>
      </c>
      <c r="AB115" s="2">
        <v>84</v>
      </c>
    </row>
    <row r="116" spans="1:28" x14ac:dyDescent="0.75">
      <c r="A116" s="3">
        <v>1</v>
      </c>
      <c r="B116" s="2">
        <f t="shared" si="7"/>
        <v>8</v>
      </c>
      <c r="C116" s="3">
        <v>4</v>
      </c>
      <c r="D116" s="3" t="s">
        <v>86</v>
      </c>
      <c r="G116" s="3">
        <v>2000</v>
      </c>
      <c r="P116" s="3">
        <v>1103</v>
      </c>
      <c r="S116" s="3" t="s">
        <v>118</v>
      </c>
      <c r="T116" s="2">
        <v>1000000</v>
      </c>
      <c r="X116" s="3" t="s">
        <v>60</v>
      </c>
      <c r="Y116" s="3" t="s">
        <v>19</v>
      </c>
      <c r="Z116" s="2">
        <f t="shared" si="3"/>
        <v>1</v>
      </c>
      <c r="AA116" s="2">
        <f t="shared" si="4"/>
        <v>1</v>
      </c>
      <c r="AB116" s="2">
        <v>85</v>
      </c>
    </row>
    <row r="117" spans="1:28" x14ac:dyDescent="0.75">
      <c r="A117" s="3">
        <v>1</v>
      </c>
      <c r="B117" s="2">
        <f t="shared" si="7"/>
        <v>8</v>
      </c>
      <c r="C117" s="3">
        <v>5</v>
      </c>
      <c r="D117" s="3" t="s">
        <v>86</v>
      </c>
      <c r="G117" s="3">
        <v>2000</v>
      </c>
      <c r="P117" s="3">
        <v>1104</v>
      </c>
      <c r="S117" s="3" t="s">
        <v>118</v>
      </c>
      <c r="T117" s="2">
        <v>1000000</v>
      </c>
      <c r="X117" s="3" t="s">
        <v>60</v>
      </c>
      <c r="Y117" s="3" t="s">
        <v>19</v>
      </c>
      <c r="Z117" s="2">
        <f t="shared" si="3"/>
        <v>1</v>
      </c>
      <c r="AA117" s="2">
        <f t="shared" si="4"/>
        <v>1</v>
      </c>
      <c r="AB117" s="2">
        <v>86</v>
      </c>
    </row>
    <row r="118" spans="1:28" x14ac:dyDescent="0.75">
      <c r="A118" s="3">
        <v>1</v>
      </c>
      <c r="B118" s="2">
        <f t="shared" si="7"/>
        <v>8</v>
      </c>
      <c r="C118" s="3">
        <v>6</v>
      </c>
      <c r="D118" s="3" t="s">
        <v>86</v>
      </c>
      <c r="G118" s="3">
        <v>2000</v>
      </c>
      <c r="P118" s="3">
        <v>1105</v>
      </c>
      <c r="S118" s="3" t="s">
        <v>118</v>
      </c>
      <c r="T118" s="2">
        <v>1000000</v>
      </c>
      <c r="X118" s="3" t="s">
        <v>60</v>
      </c>
      <c r="Y118" s="3" t="s">
        <v>19</v>
      </c>
      <c r="Z118" s="2">
        <f t="shared" si="3"/>
        <v>1</v>
      </c>
      <c r="AA118" s="2">
        <f t="shared" si="4"/>
        <v>1</v>
      </c>
      <c r="AB118" s="2">
        <v>87</v>
      </c>
    </row>
    <row r="119" spans="1:28" x14ac:dyDescent="0.75">
      <c r="A119" s="3">
        <v>1</v>
      </c>
      <c r="B119" s="2">
        <f t="shared" si="7"/>
        <v>8</v>
      </c>
      <c r="C119" s="3">
        <v>7</v>
      </c>
      <c r="D119" s="3" t="s">
        <v>86</v>
      </c>
      <c r="G119" s="3">
        <v>2000</v>
      </c>
      <c r="P119" s="3">
        <v>1106</v>
      </c>
      <c r="S119" s="3" t="s">
        <v>118</v>
      </c>
      <c r="T119" s="2">
        <v>1000000</v>
      </c>
      <c r="X119" s="3" t="s">
        <v>60</v>
      </c>
      <c r="Y119" s="3" t="s">
        <v>19</v>
      </c>
      <c r="Z119" s="2">
        <f t="shared" si="3"/>
        <v>1</v>
      </c>
      <c r="AA119" s="2">
        <f t="shared" si="4"/>
        <v>1</v>
      </c>
      <c r="AB119" s="2">
        <v>88</v>
      </c>
    </row>
    <row r="120" spans="1:28" x14ac:dyDescent="0.75">
      <c r="A120" s="3">
        <v>1</v>
      </c>
      <c r="B120" s="2">
        <f t="shared" si="7"/>
        <v>8</v>
      </c>
      <c r="C120" s="3">
        <v>8</v>
      </c>
      <c r="D120" s="3" t="s">
        <v>86</v>
      </c>
      <c r="G120" s="3">
        <v>2000</v>
      </c>
      <c r="P120" s="3">
        <v>1107</v>
      </c>
      <c r="S120" s="3" t="s">
        <v>118</v>
      </c>
      <c r="T120" s="2">
        <v>1000000</v>
      </c>
      <c r="X120" s="3" t="s">
        <v>60</v>
      </c>
      <c r="Y120" s="3" t="s">
        <v>19</v>
      </c>
      <c r="Z120" s="2">
        <f t="shared" ref="Z120:Z183" si="8">IF(T120&gt;0,1,0)+IF(U120&gt;0,1,0)+IF(V120&gt;0,1,0)+IF(W120&gt;0,1,0)</f>
        <v>1</v>
      </c>
      <c r="AA120" s="2">
        <f t="shared" ref="AA120:AA183" si="9">IF(Y120="OK",Z120,0)</f>
        <v>1</v>
      </c>
      <c r="AB120" s="2">
        <v>89</v>
      </c>
    </row>
    <row r="121" spans="1:28" x14ac:dyDescent="0.75">
      <c r="A121" s="3">
        <v>1</v>
      </c>
      <c r="B121" s="2">
        <f t="shared" si="7"/>
        <v>8</v>
      </c>
      <c r="C121" s="3">
        <v>9</v>
      </c>
      <c r="D121" s="3" t="s">
        <v>86</v>
      </c>
      <c r="G121" s="3">
        <v>2000</v>
      </c>
      <c r="P121" s="3">
        <v>1108</v>
      </c>
      <c r="S121" s="3" t="s">
        <v>118</v>
      </c>
      <c r="T121" s="2">
        <v>1000000</v>
      </c>
      <c r="X121" s="3" t="s">
        <v>60</v>
      </c>
      <c r="Y121" s="3" t="s">
        <v>19</v>
      </c>
      <c r="Z121" s="2">
        <f t="shared" si="8"/>
        <v>1</v>
      </c>
      <c r="AA121" s="2">
        <f t="shared" si="9"/>
        <v>1</v>
      </c>
      <c r="AB121" s="2">
        <v>90</v>
      </c>
    </row>
    <row r="122" spans="1:28" x14ac:dyDescent="0.75">
      <c r="A122" s="3">
        <v>1</v>
      </c>
      <c r="B122" s="2">
        <f t="shared" si="7"/>
        <v>8</v>
      </c>
      <c r="C122" s="3">
        <v>10</v>
      </c>
      <c r="D122" s="3" t="s">
        <v>86</v>
      </c>
      <c r="G122" s="3">
        <v>2000</v>
      </c>
      <c r="P122" s="3">
        <v>1109</v>
      </c>
      <c r="S122" s="3" t="s">
        <v>118</v>
      </c>
      <c r="T122" s="2">
        <v>1000000</v>
      </c>
      <c r="X122" s="3" t="s">
        <v>60</v>
      </c>
      <c r="Y122" s="3" t="s">
        <v>19</v>
      </c>
      <c r="Z122" s="2">
        <f t="shared" si="8"/>
        <v>1</v>
      </c>
      <c r="AA122" s="2">
        <f t="shared" si="9"/>
        <v>1</v>
      </c>
      <c r="AB122" s="2">
        <v>91</v>
      </c>
    </row>
    <row r="123" spans="1:28" x14ac:dyDescent="0.75">
      <c r="A123" s="3">
        <v>1</v>
      </c>
      <c r="B123" s="2">
        <f t="shared" si="7"/>
        <v>8</v>
      </c>
      <c r="C123" s="3">
        <v>11</v>
      </c>
      <c r="D123" s="3" t="s">
        <v>86</v>
      </c>
      <c r="G123" s="3">
        <v>2000</v>
      </c>
      <c r="P123" s="3">
        <v>1110</v>
      </c>
      <c r="S123" s="3" t="s">
        <v>118</v>
      </c>
      <c r="T123" s="2">
        <v>1000000</v>
      </c>
      <c r="X123" s="3" t="s">
        <v>60</v>
      </c>
      <c r="Y123" s="3" t="s">
        <v>19</v>
      </c>
      <c r="Z123" s="2">
        <f t="shared" si="8"/>
        <v>1</v>
      </c>
      <c r="AA123" s="2">
        <f t="shared" si="9"/>
        <v>1</v>
      </c>
      <c r="AB123" s="2">
        <v>92</v>
      </c>
    </row>
    <row r="124" spans="1:28" x14ac:dyDescent="0.75">
      <c r="A124" s="3">
        <v>1</v>
      </c>
      <c r="B124" s="2">
        <f t="shared" si="7"/>
        <v>8</v>
      </c>
      <c r="C124" s="3">
        <v>12</v>
      </c>
      <c r="D124" s="3" t="s">
        <v>86</v>
      </c>
      <c r="G124" s="3">
        <v>2000</v>
      </c>
      <c r="P124" s="3">
        <v>1111</v>
      </c>
      <c r="S124" s="3" t="s">
        <v>118</v>
      </c>
      <c r="T124" s="2">
        <v>1000000</v>
      </c>
      <c r="X124" s="3" t="s">
        <v>60</v>
      </c>
      <c r="Y124" s="3" t="s">
        <v>19</v>
      </c>
      <c r="Z124" s="2">
        <f t="shared" si="8"/>
        <v>1</v>
      </c>
      <c r="AA124" s="2">
        <f t="shared" si="9"/>
        <v>1</v>
      </c>
      <c r="AB124" s="2">
        <v>93</v>
      </c>
    </row>
    <row r="125" spans="1:28" x14ac:dyDescent="0.75">
      <c r="A125" s="3">
        <v>1</v>
      </c>
      <c r="B125" s="2">
        <f t="shared" si="7"/>
        <v>8</v>
      </c>
      <c r="C125" s="3">
        <v>13</v>
      </c>
      <c r="D125" s="3" t="s">
        <v>86</v>
      </c>
      <c r="G125" s="3">
        <v>2000</v>
      </c>
      <c r="P125" s="3">
        <v>1112</v>
      </c>
      <c r="S125" s="3" t="s">
        <v>118</v>
      </c>
      <c r="T125" s="2">
        <v>1000000</v>
      </c>
      <c r="X125" s="3" t="s">
        <v>60</v>
      </c>
      <c r="Y125" s="3" t="s">
        <v>19</v>
      </c>
      <c r="Z125" s="2">
        <f t="shared" si="8"/>
        <v>1</v>
      </c>
      <c r="AA125" s="2">
        <f t="shared" si="9"/>
        <v>1</v>
      </c>
      <c r="AB125" s="2">
        <v>94</v>
      </c>
    </row>
    <row r="126" spans="1:28" x14ac:dyDescent="0.75">
      <c r="A126" s="3">
        <v>1</v>
      </c>
      <c r="B126" s="2">
        <f t="shared" si="7"/>
        <v>8</v>
      </c>
      <c r="C126" s="3">
        <v>14</v>
      </c>
      <c r="D126" s="3" t="s">
        <v>86</v>
      </c>
      <c r="G126" s="3">
        <v>2000</v>
      </c>
      <c r="P126" s="3">
        <v>1113</v>
      </c>
      <c r="S126" s="3" t="s">
        <v>118</v>
      </c>
      <c r="T126" s="2">
        <v>1000000</v>
      </c>
      <c r="X126" s="3" t="s">
        <v>60</v>
      </c>
      <c r="Y126" s="3" t="s">
        <v>19</v>
      </c>
      <c r="Z126" s="2">
        <f t="shared" si="8"/>
        <v>1</v>
      </c>
      <c r="AA126" s="2">
        <f t="shared" si="9"/>
        <v>1</v>
      </c>
      <c r="AB126" s="2">
        <v>95</v>
      </c>
    </row>
    <row r="127" spans="1:28" x14ac:dyDescent="0.75">
      <c r="A127" s="3">
        <v>1</v>
      </c>
      <c r="B127" s="2">
        <f t="shared" si="7"/>
        <v>8</v>
      </c>
      <c r="C127" s="3">
        <v>15</v>
      </c>
      <c r="D127" s="3" t="s">
        <v>86</v>
      </c>
      <c r="G127" s="3">
        <v>2000</v>
      </c>
      <c r="P127" s="3">
        <v>1114</v>
      </c>
      <c r="S127" s="3" t="s">
        <v>118</v>
      </c>
      <c r="T127" s="2">
        <v>1000000</v>
      </c>
      <c r="X127" s="3" t="s">
        <v>60</v>
      </c>
      <c r="Y127" s="3" t="s">
        <v>19</v>
      </c>
      <c r="Z127" s="2">
        <f t="shared" si="8"/>
        <v>1</v>
      </c>
      <c r="AA127" s="2">
        <f t="shared" si="9"/>
        <v>1</v>
      </c>
      <c r="AB127" s="2">
        <v>96</v>
      </c>
    </row>
    <row r="128" spans="1:28" x14ac:dyDescent="0.75">
      <c r="A128" s="3">
        <v>1</v>
      </c>
      <c r="B128" s="2">
        <f t="shared" si="7"/>
        <v>8</v>
      </c>
      <c r="C128" s="3">
        <v>16</v>
      </c>
      <c r="D128" s="3" t="s">
        <v>86</v>
      </c>
      <c r="G128" s="3">
        <v>2000</v>
      </c>
      <c r="P128" s="3">
        <v>1115</v>
      </c>
      <c r="S128" s="3" t="s">
        <v>118</v>
      </c>
      <c r="T128" s="2">
        <v>1000000</v>
      </c>
      <c r="X128" s="3" t="s">
        <v>60</v>
      </c>
      <c r="Y128" s="3" t="s">
        <v>19</v>
      </c>
      <c r="Z128" s="2">
        <f t="shared" si="8"/>
        <v>1</v>
      </c>
      <c r="AA128" s="2">
        <f t="shared" si="9"/>
        <v>1</v>
      </c>
      <c r="AB128" s="2">
        <v>97</v>
      </c>
    </row>
    <row r="129" spans="1:28" x14ac:dyDescent="0.75">
      <c r="A129" s="3">
        <v>1</v>
      </c>
      <c r="B129" s="2">
        <f t="shared" ref="B129:B162" si="10">IF(C129=1,B128+1,B128)</f>
        <v>8</v>
      </c>
      <c r="C129" s="3">
        <v>17</v>
      </c>
      <c r="D129" s="3" t="s">
        <v>86</v>
      </c>
      <c r="G129" s="3">
        <v>2000</v>
      </c>
      <c r="P129" s="3">
        <v>1116</v>
      </c>
      <c r="S129" s="3" t="s">
        <v>118</v>
      </c>
      <c r="T129" s="2">
        <v>1000000</v>
      </c>
      <c r="X129" s="3" t="s">
        <v>60</v>
      </c>
      <c r="Y129" s="3" t="s">
        <v>19</v>
      </c>
      <c r="Z129" s="2">
        <f t="shared" si="8"/>
        <v>1</v>
      </c>
      <c r="AA129" s="2">
        <f t="shared" si="9"/>
        <v>1</v>
      </c>
      <c r="AB129" s="2">
        <v>98</v>
      </c>
    </row>
    <row r="130" spans="1:28" x14ac:dyDescent="0.75">
      <c r="A130" s="3">
        <v>1</v>
      </c>
      <c r="B130" s="2">
        <f t="shared" si="10"/>
        <v>8</v>
      </c>
      <c r="C130" s="3">
        <v>18</v>
      </c>
      <c r="D130" s="3" t="s">
        <v>86</v>
      </c>
      <c r="G130" s="3">
        <v>2000</v>
      </c>
      <c r="P130" s="3">
        <v>1117</v>
      </c>
      <c r="S130" s="3" t="s">
        <v>118</v>
      </c>
      <c r="T130" s="2">
        <v>1000000</v>
      </c>
      <c r="X130" s="3" t="s">
        <v>60</v>
      </c>
      <c r="Y130" s="3" t="s">
        <v>19</v>
      </c>
      <c r="Z130" s="2">
        <f t="shared" si="8"/>
        <v>1</v>
      </c>
      <c r="AA130" s="2">
        <f t="shared" si="9"/>
        <v>1</v>
      </c>
      <c r="AB130" s="2">
        <v>99</v>
      </c>
    </row>
    <row r="131" spans="1:28" x14ac:dyDescent="0.75">
      <c r="A131" s="3">
        <v>1</v>
      </c>
      <c r="B131" s="2">
        <f t="shared" si="10"/>
        <v>8</v>
      </c>
      <c r="C131" s="3">
        <v>19</v>
      </c>
      <c r="D131" s="3" t="s">
        <v>86</v>
      </c>
      <c r="G131" s="3">
        <v>2000</v>
      </c>
      <c r="P131" s="3">
        <v>1118</v>
      </c>
      <c r="S131" s="3" t="s">
        <v>118</v>
      </c>
      <c r="T131" s="2">
        <v>1000000</v>
      </c>
      <c r="X131" s="3" t="s">
        <v>60</v>
      </c>
      <c r="Y131" s="3" t="s">
        <v>19</v>
      </c>
      <c r="Z131" s="2">
        <f t="shared" si="8"/>
        <v>1</v>
      </c>
      <c r="AA131" s="2">
        <f t="shared" si="9"/>
        <v>1</v>
      </c>
      <c r="AB131" s="2">
        <v>100</v>
      </c>
    </row>
    <row r="132" spans="1:28" x14ac:dyDescent="0.75">
      <c r="A132" s="3">
        <v>1</v>
      </c>
      <c r="B132" s="2">
        <f t="shared" si="10"/>
        <v>8</v>
      </c>
      <c r="C132" s="3">
        <v>20</v>
      </c>
      <c r="D132" s="3" t="s">
        <v>86</v>
      </c>
      <c r="G132" s="3">
        <v>2000</v>
      </c>
      <c r="P132" s="3">
        <v>1119</v>
      </c>
      <c r="S132" s="3" t="s">
        <v>118</v>
      </c>
      <c r="T132" s="2">
        <v>1000000</v>
      </c>
      <c r="X132" s="3" t="s">
        <v>60</v>
      </c>
      <c r="Y132" s="3" t="s">
        <v>19</v>
      </c>
      <c r="Z132" s="2">
        <f t="shared" si="8"/>
        <v>1</v>
      </c>
      <c r="AA132" s="2">
        <f t="shared" si="9"/>
        <v>1</v>
      </c>
      <c r="AB132" s="2">
        <v>101</v>
      </c>
    </row>
    <row r="133" spans="1:28" x14ac:dyDescent="0.75">
      <c r="A133" s="3">
        <v>1</v>
      </c>
      <c r="B133" s="2">
        <f t="shared" si="10"/>
        <v>8</v>
      </c>
      <c r="C133" s="3">
        <v>21</v>
      </c>
      <c r="D133" s="3" t="s">
        <v>86</v>
      </c>
      <c r="G133" s="3">
        <v>2000</v>
      </c>
      <c r="P133" s="3">
        <v>1120</v>
      </c>
      <c r="S133" s="3" t="s">
        <v>118</v>
      </c>
      <c r="T133" s="2">
        <v>1000000</v>
      </c>
      <c r="X133" s="3" t="s">
        <v>60</v>
      </c>
      <c r="Y133" s="3" t="s">
        <v>19</v>
      </c>
      <c r="Z133" s="2">
        <f t="shared" si="8"/>
        <v>1</v>
      </c>
      <c r="AA133" s="2">
        <f t="shared" si="9"/>
        <v>1</v>
      </c>
      <c r="AB133" s="2">
        <v>102</v>
      </c>
    </row>
    <row r="134" spans="1:28" x14ac:dyDescent="0.75">
      <c r="A134" s="3">
        <v>1</v>
      </c>
      <c r="B134" s="2">
        <f t="shared" si="10"/>
        <v>8</v>
      </c>
      <c r="C134" s="3">
        <v>22</v>
      </c>
      <c r="D134" s="3" t="s">
        <v>86</v>
      </c>
      <c r="G134" s="3">
        <v>2000</v>
      </c>
      <c r="P134" s="3">
        <v>1121</v>
      </c>
      <c r="S134" s="3" t="s">
        <v>118</v>
      </c>
      <c r="T134" s="2">
        <v>1000000</v>
      </c>
      <c r="X134" s="3" t="s">
        <v>60</v>
      </c>
      <c r="Y134" s="3" t="s">
        <v>19</v>
      </c>
      <c r="Z134" s="2">
        <f t="shared" si="8"/>
        <v>1</v>
      </c>
      <c r="AA134" s="2">
        <f t="shared" si="9"/>
        <v>1</v>
      </c>
      <c r="AB134" s="2">
        <v>103</v>
      </c>
    </row>
    <row r="135" spans="1:28" x14ac:dyDescent="0.75">
      <c r="A135" s="3">
        <v>1</v>
      </c>
      <c r="B135" s="2">
        <f t="shared" si="10"/>
        <v>8</v>
      </c>
      <c r="C135" s="3">
        <v>23</v>
      </c>
      <c r="D135" s="3" t="s">
        <v>86</v>
      </c>
      <c r="G135" s="3">
        <v>2000</v>
      </c>
      <c r="P135" s="3">
        <v>1122</v>
      </c>
      <c r="S135" s="3" t="s">
        <v>118</v>
      </c>
      <c r="T135" s="2">
        <v>1000000</v>
      </c>
      <c r="X135" s="3" t="s">
        <v>60</v>
      </c>
      <c r="Y135" s="3" t="s">
        <v>19</v>
      </c>
      <c r="Z135" s="2">
        <f t="shared" si="8"/>
        <v>1</v>
      </c>
      <c r="AA135" s="2">
        <f t="shared" si="9"/>
        <v>1</v>
      </c>
      <c r="AB135" s="2">
        <v>104</v>
      </c>
    </row>
    <row r="136" spans="1:28" x14ac:dyDescent="0.75">
      <c r="A136" s="3">
        <v>1</v>
      </c>
      <c r="B136" s="2">
        <f t="shared" si="10"/>
        <v>8</v>
      </c>
      <c r="C136" s="3">
        <v>24</v>
      </c>
      <c r="D136" s="3" t="s">
        <v>86</v>
      </c>
      <c r="G136" s="3">
        <v>2000</v>
      </c>
      <c r="P136" s="3">
        <v>1123</v>
      </c>
      <c r="S136" s="3" t="s">
        <v>118</v>
      </c>
      <c r="T136" s="2">
        <v>1000000</v>
      </c>
      <c r="X136" s="3" t="s">
        <v>60</v>
      </c>
      <c r="Y136" s="3" t="s">
        <v>19</v>
      </c>
      <c r="Z136" s="2">
        <f t="shared" si="8"/>
        <v>1</v>
      </c>
      <c r="AA136" s="2">
        <f t="shared" si="9"/>
        <v>1</v>
      </c>
      <c r="AB136" s="2">
        <v>105</v>
      </c>
    </row>
    <row r="137" spans="1:28" x14ac:dyDescent="0.75">
      <c r="A137" s="3">
        <v>1</v>
      </c>
      <c r="B137" s="2">
        <f t="shared" si="10"/>
        <v>8</v>
      </c>
      <c r="C137" s="3">
        <v>25</v>
      </c>
      <c r="D137" s="3" t="s">
        <v>86</v>
      </c>
      <c r="G137" s="3">
        <v>2000</v>
      </c>
      <c r="P137" s="3">
        <v>1124</v>
      </c>
      <c r="S137" s="3" t="s">
        <v>118</v>
      </c>
      <c r="T137" s="2">
        <v>1000000</v>
      </c>
      <c r="X137" s="3" t="s">
        <v>60</v>
      </c>
      <c r="Y137" s="3" t="s">
        <v>19</v>
      </c>
      <c r="Z137" s="2">
        <f t="shared" si="8"/>
        <v>1</v>
      </c>
      <c r="AA137" s="2">
        <f t="shared" si="9"/>
        <v>1</v>
      </c>
      <c r="AB137" s="2">
        <v>106</v>
      </c>
    </row>
    <row r="138" spans="1:28" x14ac:dyDescent="0.75">
      <c r="A138" s="3">
        <v>1</v>
      </c>
      <c r="B138" s="2">
        <f t="shared" si="10"/>
        <v>8</v>
      </c>
      <c r="C138" s="3">
        <v>26</v>
      </c>
      <c r="D138" s="3" t="s">
        <v>86</v>
      </c>
      <c r="G138" s="3">
        <v>2000</v>
      </c>
      <c r="P138" s="3">
        <v>1125</v>
      </c>
      <c r="S138" s="3" t="s">
        <v>118</v>
      </c>
      <c r="T138" s="2">
        <v>1000000</v>
      </c>
      <c r="X138" s="3" t="s">
        <v>60</v>
      </c>
      <c r="Y138" s="3" t="s">
        <v>19</v>
      </c>
      <c r="Z138" s="2">
        <f t="shared" si="8"/>
        <v>1</v>
      </c>
      <c r="AA138" s="2">
        <f t="shared" si="9"/>
        <v>1</v>
      </c>
      <c r="AB138" s="2">
        <v>107</v>
      </c>
    </row>
    <row r="139" spans="1:28" x14ac:dyDescent="0.75">
      <c r="A139" s="3">
        <v>1</v>
      </c>
      <c r="B139" s="2">
        <f t="shared" si="10"/>
        <v>8</v>
      </c>
      <c r="C139" s="3">
        <v>27</v>
      </c>
      <c r="D139" s="3" t="s">
        <v>86</v>
      </c>
      <c r="G139" s="3">
        <v>2000</v>
      </c>
      <c r="P139" s="3">
        <v>1126</v>
      </c>
      <c r="S139" s="3" t="s">
        <v>118</v>
      </c>
      <c r="T139" s="2">
        <v>1000000</v>
      </c>
      <c r="X139" s="3" t="s">
        <v>60</v>
      </c>
      <c r="Y139" s="3" t="s">
        <v>19</v>
      </c>
      <c r="Z139" s="2">
        <f t="shared" si="8"/>
        <v>1</v>
      </c>
      <c r="AA139" s="2">
        <f t="shared" si="9"/>
        <v>1</v>
      </c>
      <c r="AB139" s="2">
        <v>108</v>
      </c>
    </row>
    <row r="140" spans="1:28" x14ac:dyDescent="0.75">
      <c r="A140" s="3">
        <v>1</v>
      </c>
      <c r="B140" s="2">
        <f t="shared" si="10"/>
        <v>8</v>
      </c>
      <c r="C140" s="3">
        <v>28</v>
      </c>
      <c r="D140" s="3" t="s">
        <v>86</v>
      </c>
      <c r="G140" s="3">
        <v>2000</v>
      </c>
      <c r="P140" s="3">
        <v>1127</v>
      </c>
      <c r="S140" s="3" t="s">
        <v>118</v>
      </c>
      <c r="T140" s="2">
        <v>1000000</v>
      </c>
      <c r="X140" s="3" t="s">
        <v>60</v>
      </c>
      <c r="Y140" s="3" t="s">
        <v>19</v>
      </c>
      <c r="Z140" s="2">
        <f t="shared" si="8"/>
        <v>1</v>
      </c>
      <c r="AA140" s="2">
        <f t="shared" si="9"/>
        <v>1</v>
      </c>
      <c r="AB140" s="2">
        <v>109</v>
      </c>
    </row>
    <row r="141" spans="1:28" x14ac:dyDescent="0.75">
      <c r="A141" s="3">
        <v>1</v>
      </c>
      <c r="B141" s="2">
        <f t="shared" si="10"/>
        <v>8</v>
      </c>
      <c r="C141" s="3">
        <v>29</v>
      </c>
      <c r="D141" s="3" t="s">
        <v>86</v>
      </c>
      <c r="G141" s="3">
        <v>2000</v>
      </c>
      <c r="P141" s="3">
        <v>1128</v>
      </c>
      <c r="S141" s="3" t="s">
        <v>118</v>
      </c>
      <c r="T141" s="2">
        <v>1000000</v>
      </c>
      <c r="X141" s="3" t="s">
        <v>60</v>
      </c>
      <c r="Y141" s="3" t="s">
        <v>19</v>
      </c>
      <c r="Z141" s="2">
        <f t="shared" si="8"/>
        <v>1</v>
      </c>
      <c r="AA141" s="2">
        <f t="shared" si="9"/>
        <v>1</v>
      </c>
      <c r="AB141" s="2">
        <v>110</v>
      </c>
    </row>
    <row r="142" spans="1:28" x14ac:dyDescent="0.75">
      <c r="A142" s="3">
        <v>1</v>
      </c>
      <c r="B142" s="2">
        <f t="shared" si="10"/>
        <v>8</v>
      </c>
      <c r="C142" s="3">
        <v>30</v>
      </c>
      <c r="D142" s="3" t="s">
        <v>86</v>
      </c>
      <c r="G142" s="3">
        <v>2000</v>
      </c>
      <c r="P142" s="3">
        <v>1129</v>
      </c>
      <c r="S142" s="3" t="s">
        <v>118</v>
      </c>
      <c r="T142" s="2">
        <v>1000000</v>
      </c>
      <c r="X142" s="3" t="s">
        <v>60</v>
      </c>
      <c r="Y142" s="3" t="s">
        <v>19</v>
      </c>
      <c r="Z142" s="2">
        <f t="shared" si="8"/>
        <v>1</v>
      </c>
      <c r="AA142" s="2">
        <f t="shared" si="9"/>
        <v>1</v>
      </c>
      <c r="AB142" s="2">
        <v>111</v>
      </c>
    </row>
    <row r="143" spans="1:28" x14ac:dyDescent="0.75">
      <c r="A143" s="3">
        <v>1</v>
      </c>
      <c r="B143" s="2">
        <f t="shared" si="10"/>
        <v>8</v>
      </c>
      <c r="C143" s="3">
        <v>31</v>
      </c>
      <c r="D143" s="3" t="s">
        <v>86</v>
      </c>
      <c r="G143" s="3">
        <v>2000</v>
      </c>
      <c r="P143" s="3">
        <v>1130</v>
      </c>
      <c r="S143" s="3" t="s">
        <v>118</v>
      </c>
      <c r="T143" s="2">
        <v>1000000</v>
      </c>
      <c r="X143" s="3" t="s">
        <v>60</v>
      </c>
      <c r="Y143" s="3" t="s">
        <v>19</v>
      </c>
      <c r="Z143" s="2">
        <f t="shared" si="8"/>
        <v>1</v>
      </c>
      <c r="AA143" s="2">
        <f t="shared" si="9"/>
        <v>1</v>
      </c>
      <c r="AB143" s="2">
        <v>112</v>
      </c>
    </row>
    <row r="144" spans="1:28" x14ac:dyDescent="0.75">
      <c r="A144" s="3">
        <v>1</v>
      </c>
      <c r="B144" s="2">
        <f t="shared" si="10"/>
        <v>8</v>
      </c>
      <c r="C144" s="3">
        <v>32</v>
      </c>
      <c r="D144" s="3" t="s">
        <v>86</v>
      </c>
      <c r="G144" s="3">
        <v>2000</v>
      </c>
      <c r="P144" s="3">
        <v>1131</v>
      </c>
      <c r="S144" s="3" t="s">
        <v>118</v>
      </c>
      <c r="T144" s="2">
        <v>1000000</v>
      </c>
      <c r="X144" s="3" t="s">
        <v>60</v>
      </c>
      <c r="Y144" s="3" t="s">
        <v>19</v>
      </c>
      <c r="Z144" s="2">
        <f t="shared" si="8"/>
        <v>1</v>
      </c>
      <c r="AA144" s="2">
        <f t="shared" si="9"/>
        <v>1</v>
      </c>
      <c r="AB144" s="2">
        <v>113</v>
      </c>
    </row>
    <row r="145" spans="1:28" x14ac:dyDescent="0.75">
      <c r="A145" s="3">
        <v>1</v>
      </c>
      <c r="B145" s="2">
        <f t="shared" si="10"/>
        <v>8</v>
      </c>
      <c r="C145" s="3">
        <v>33</v>
      </c>
      <c r="D145" s="3" t="s">
        <v>86</v>
      </c>
      <c r="G145" s="3">
        <v>2000</v>
      </c>
      <c r="P145" s="3">
        <v>1132</v>
      </c>
      <c r="S145" s="3" t="s">
        <v>118</v>
      </c>
      <c r="T145" s="2">
        <v>1000000</v>
      </c>
      <c r="X145" s="3" t="s">
        <v>60</v>
      </c>
      <c r="Y145" s="3" t="s">
        <v>19</v>
      </c>
      <c r="Z145" s="2">
        <f t="shared" si="8"/>
        <v>1</v>
      </c>
      <c r="AA145" s="2">
        <f t="shared" si="9"/>
        <v>1</v>
      </c>
      <c r="AB145" s="2">
        <v>114</v>
      </c>
    </row>
    <row r="146" spans="1:28" x14ac:dyDescent="0.75">
      <c r="A146" s="3">
        <v>1</v>
      </c>
      <c r="B146" s="2">
        <f t="shared" si="10"/>
        <v>8</v>
      </c>
      <c r="C146" s="3">
        <v>34</v>
      </c>
      <c r="D146" s="3" t="s">
        <v>86</v>
      </c>
      <c r="G146" s="3">
        <v>2000</v>
      </c>
      <c r="P146" s="3">
        <v>1133</v>
      </c>
      <c r="S146" s="3" t="s">
        <v>118</v>
      </c>
      <c r="T146" s="2">
        <v>1000000</v>
      </c>
      <c r="X146" s="3" t="s">
        <v>60</v>
      </c>
      <c r="Y146" s="3" t="s">
        <v>19</v>
      </c>
      <c r="Z146" s="2">
        <f t="shared" si="8"/>
        <v>1</v>
      </c>
      <c r="AA146" s="2">
        <f t="shared" si="9"/>
        <v>1</v>
      </c>
      <c r="AB146" s="2">
        <v>115</v>
      </c>
    </row>
    <row r="147" spans="1:28" x14ac:dyDescent="0.75">
      <c r="A147" s="3">
        <v>1</v>
      </c>
      <c r="B147" s="2">
        <f t="shared" si="10"/>
        <v>8</v>
      </c>
      <c r="C147" s="3">
        <v>35</v>
      </c>
      <c r="D147" s="3" t="s">
        <v>86</v>
      </c>
      <c r="G147" s="3">
        <v>2000</v>
      </c>
      <c r="P147" s="3">
        <v>1134</v>
      </c>
      <c r="S147" s="3" t="s">
        <v>118</v>
      </c>
      <c r="T147" s="2">
        <v>1000000</v>
      </c>
      <c r="X147" s="3" t="s">
        <v>60</v>
      </c>
      <c r="Y147" s="3" t="s">
        <v>19</v>
      </c>
      <c r="Z147" s="2">
        <f t="shared" si="8"/>
        <v>1</v>
      </c>
      <c r="AA147" s="2">
        <f t="shared" si="9"/>
        <v>1</v>
      </c>
      <c r="AB147" s="2">
        <v>116</v>
      </c>
    </row>
    <row r="148" spans="1:28" x14ac:dyDescent="0.75">
      <c r="A148" s="3">
        <v>1</v>
      </c>
      <c r="B148" s="2">
        <f t="shared" si="10"/>
        <v>8</v>
      </c>
      <c r="C148" s="3">
        <v>36</v>
      </c>
      <c r="D148" s="3" t="s">
        <v>86</v>
      </c>
      <c r="G148" s="3">
        <v>2000</v>
      </c>
      <c r="P148" s="3">
        <v>1135</v>
      </c>
      <c r="S148" s="3" t="s">
        <v>118</v>
      </c>
      <c r="T148" s="2">
        <v>1000000</v>
      </c>
      <c r="X148" s="3" t="s">
        <v>60</v>
      </c>
      <c r="Y148" s="3" t="s">
        <v>19</v>
      </c>
      <c r="Z148" s="2">
        <f t="shared" si="8"/>
        <v>1</v>
      </c>
      <c r="AA148" s="2">
        <f t="shared" si="9"/>
        <v>1</v>
      </c>
      <c r="AB148" s="2">
        <v>117</v>
      </c>
    </row>
    <row r="149" spans="1:28" x14ac:dyDescent="0.75">
      <c r="A149" s="3">
        <v>1</v>
      </c>
      <c r="B149" s="2">
        <f t="shared" si="10"/>
        <v>8</v>
      </c>
      <c r="C149" s="3">
        <v>37</v>
      </c>
      <c r="D149" s="3" t="s">
        <v>86</v>
      </c>
      <c r="G149" s="3">
        <v>2000</v>
      </c>
      <c r="P149" s="3">
        <v>1136</v>
      </c>
      <c r="S149" s="3" t="s">
        <v>118</v>
      </c>
      <c r="T149" s="2">
        <v>1000000</v>
      </c>
      <c r="X149" s="3" t="s">
        <v>60</v>
      </c>
      <c r="Y149" s="3" t="s">
        <v>19</v>
      </c>
      <c r="Z149" s="2">
        <f t="shared" si="8"/>
        <v>1</v>
      </c>
      <c r="AA149" s="2">
        <f t="shared" si="9"/>
        <v>1</v>
      </c>
      <c r="AB149" s="2">
        <v>118</v>
      </c>
    </row>
    <row r="150" spans="1:28" x14ac:dyDescent="0.75">
      <c r="A150" s="3">
        <v>1</v>
      </c>
      <c r="B150" s="2">
        <f t="shared" si="10"/>
        <v>8</v>
      </c>
      <c r="C150" s="3">
        <v>38</v>
      </c>
      <c r="D150" s="3" t="s">
        <v>86</v>
      </c>
      <c r="G150" s="3">
        <v>2000</v>
      </c>
      <c r="P150" s="3">
        <v>1137</v>
      </c>
      <c r="S150" s="3" t="s">
        <v>118</v>
      </c>
      <c r="T150" s="2">
        <v>1000000</v>
      </c>
      <c r="X150" s="3" t="s">
        <v>60</v>
      </c>
      <c r="Y150" s="3" t="s">
        <v>19</v>
      </c>
      <c r="Z150" s="2">
        <f t="shared" si="8"/>
        <v>1</v>
      </c>
      <c r="AA150" s="2">
        <f t="shared" si="9"/>
        <v>1</v>
      </c>
      <c r="AB150" s="2">
        <v>119</v>
      </c>
    </row>
    <row r="151" spans="1:28" x14ac:dyDescent="0.75">
      <c r="A151" s="3">
        <v>1</v>
      </c>
      <c r="B151" s="2">
        <f t="shared" si="10"/>
        <v>8</v>
      </c>
      <c r="C151" s="3">
        <v>39</v>
      </c>
      <c r="D151" s="3" t="s">
        <v>86</v>
      </c>
      <c r="G151" s="3">
        <v>2000</v>
      </c>
      <c r="P151" s="3">
        <v>1138</v>
      </c>
      <c r="S151" s="3" t="s">
        <v>118</v>
      </c>
      <c r="T151" s="2">
        <v>1000000</v>
      </c>
      <c r="X151" s="3" t="s">
        <v>60</v>
      </c>
      <c r="Y151" s="3" t="s">
        <v>19</v>
      </c>
      <c r="Z151" s="2">
        <f t="shared" si="8"/>
        <v>1</v>
      </c>
      <c r="AA151" s="2">
        <f t="shared" si="9"/>
        <v>1</v>
      </c>
      <c r="AB151" s="2">
        <v>120</v>
      </c>
    </row>
    <row r="152" spans="1:28" x14ac:dyDescent="0.75">
      <c r="A152" s="3">
        <v>1</v>
      </c>
      <c r="B152" s="2">
        <f t="shared" si="10"/>
        <v>8</v>
      </c>
      <c r="C152" s="3">
        <v>40</v>
      </c>
      <c r="D152" s="3" t="s">
        <v>86</v>
      </c>
      <c r="G152" s="3">
        <v>2000</v>
      </c>
      <c r="P152" s="3">
        <v>1139</v>
      </c>
      <c r="S152" s="3" t="s">
        <v>118</v>
      </c>
      <c r="T152" s="2">
        <v>1000000</v>
      </c>
      <c r="X152" s="3" t="s">
        <v>60</v>
      </c>
      <c r="Y152" s="3" t="s">
        <v>19</v>
      </c>
      <c r="Z152" s="2">
        <f t="shared" si="8"/>
        <v>1</v>
      </c>
      <c r="AA152" s="2">
        <f t="shared" si="9"/>
        <v>1</v>
      </c>
      <c r="AB152" s="2">
        <v>121</v>
      </c>
    </row>
    <row r="153" spans="1:28" x14ac:dyDescent="0.75">
      <c r="A153" s="3">
        <v>1</v>
      </c>
      <c r="B153" s="2">
        <f t="shared" si="10"/>
        <v>8</v>
      </c>
      <c r="C153" s="3">
        <v>41</v>
      </c>
      <c r="D153" s="3" t="s">
        <v>86</v>
      </c>
      <c r="G153" s="3">
        <v>2000</v>
      </c>
      <c r="P153" s="3">
        <v>1140</v>
      </c>
      <c r="S153" s="3" t="s">
        <v>118</v>
      </c>
      <c r="T153" s="2">
        <v>1000000</v>
      </c>
      <c r="X153" s="3" t="s">
        <v>60</v>
      </c>
      <c r="Y153" s="3" t="s">
        <v>19</v>
      </c>
      <c r="Z153" s="2">
        <f t="shared" si="8"/>
        <v>1</v>
      </c>
      <c r="AA153" s="2">
        <f t="shared" si="9"/>
        <v>1</v>
      </c>
      <c r="AB153" s="2">
        <v>122</v>
      </c>
    </row>
    <row r="154" spans="1:28" x14ac:dyDescent="0.75">
      <c r="A154" s="3">
        <v>1</v>
      </c>
      <c r="B154" s="2">
        <f t="shared" si="10"/>
        <v>8</v>
      </c>
      <c r="C154" s="3">
        <v>42</v>
      </c>
      <c r="D154" s="3" t="s">
        <v>86</v>
      </c>
      <c r="G154" s="3">
        <v>2000</v>
      </c>
      <c r="P154" s="3">
        <v>1141</v>
      </c>
      <c r="S154" s="3" t="s">
        <v>118</v>
      </c>
      <c r="T154" s="2">
        <v>1000000</v>
      </c>
      <c r="X154" s="3" t="s">
        <v>60</v>
      </c>
      <c r="Y154" s="3" t="s">
        <v>19</v>
      </c>
      <c r="Z154" s="2">
        <f t="shared" si="8"/>
        <v>1</v>
      </c>
      <c r="AA154" s="2">
        <f t="shared" si="9"/>
        <v>1</v>
      </c>
      <c r="AB154" s="2">
        <v>123</v>
      </c>
    </row>
    <row r="155" spans="1:28" x14ac:dyDescent="0.75">
      <c r="A155" s="3">
        <v>1</v>
      </c>
      <c r="B155" s="2">
        <f t="shared" si="10"/>
        <v>8</v>
      </c>
      <c r="C155" s="3">
        <v>43</v>
      </c>
      <c r="D155" s="3" t="s">
        <v>86</v>
      </c>
      <c r="G155" s="3">
        <v>2000</v>
      </c>
      <c r="P155" s="3">
        <v>1142</v>
      </c>
      <c r="S155" s="3" t="s">
        <v>118</v>
      </c>
      <c r="T155" s="2">
        <v>1000000</v>
      </c>
      <c r="X155" s="3" t="s">
        <v>60</v>
      </c>
      <c r="Y155" s="3" t="s">
        <v>19</v>
      </c>
      <c r="Z155" s="2">
        <f t="shared" si="8"/>
        <v>1</v>
      </c>
      <c r="AA155" s="2">
        <f t="shared" si="9"/>
        <v>1</v>
      </c>
      <c r="AB155" s="2">
        <v>124</v>
      </c>
    </row>
    <row r="156" spans="1:28" x14ac:dyDescent="0.75">
      <c r="A156" s="3">
        <v>1</v>
      </c>
      <c r="B156" s="2">
        <f t="shared" si="10"/>
        <v>8</v>
      </c>
      <c r="C156" s="3">
        <v>44</v>
      </c>
      <c r="D156" s="3" t="s">
        <v>86</v>
      </c>
      <c r="G156" s="3">
        <v>2000</v>
      </c>
      <c r="P156" s="3">
        <v>1143</v>
      </c>
      <c r="S156" s="3" t="s">
        <v>118</v>
      </c>
      <c r="T156" s="2">
        <v>1000000</v>
      </c>
      <c r="X156" s="3" t="s">
        <v>60</v>
      </c>
      <c r="Y156" s="3" t="s">
        <v>19</v>
      </c>
      <c r="Z156" s="2">
        <f t="shared" si="8"/>
        <v>1</v>
      </c>
      <c r="AA156" s="2">
        <f t="shared" si="9"/>
        <v>1</v>
      </c>
      <c r="AB156" s="2">
        <v>125</v>
      </c>
    </row>
    <row r="157" spans="1:28" x14ac:dyDescent="0.75">
      <c r="A157" s="3">
        <v>1</v>
      </c>
      <c r="B157" s="2">
        <f t="shared" si="10"/>
        <v>8</v>
      </c>
      <c r="C157" s="3">
        <v>45</v>
      </c>
      <c r="D157" s="3" t="s">
        <v>86</v>
      </c>
      <c r="G157" s="3">
        <v>2000</v>
      </c>
      <c r="P157" s="3">
        <v>1144</v>
      </c>
      <c r="S157" s="3" t="s">
        <v>118</v>
      </c>
      <c r="T157" s="2">
        <v>1000000</v>
      </c>
      <c r="X157" s="3" t="s">
        <v>60</v>
      </c>
      <c r="Y157" s="3" t="s">
        <v>19</v>
      </c>
      <c r="Z157" s="2">
        <f t="shared" si="8"/>
        <v>1</v>
      </c>
      <c r="AA157" s="2">
        <f t="shared" si="9"/>
        <v>1</v>
      </c>
      <c r="AB157" s="2">
        <v>126</v>
      </c>
    </row>
    <row r="158" spans="1:28" x14ac:dyDescent="0.75">
      <c r="A158" s="3">
        <v>1</v>
      </c>
      <c r="B158" s="2">
        <f t="shared" si="10"/>
        <v>8</v>
      </c>
      <c r="C158" s="3">
        <v>46</v>
      </c>
      <c r="D158" s="3" t="s">
        <v>86</v>
      </c>
      <c r="G158" s="3">
        <v>2000</v>
      </c>
      <c r="P158" s="3">
        <v>1145</v>
      </c>
      <c r="S158" s="3" t="s">
        <v>118</v>
      </c>
      <c r="T158" s="2">
        <v>1000000</v>
      </c>
      <c r="X158" s="3" t="s">
        <v>60</v>
      </c>
      <c r="Y158" s="3" t="s">
        <v>19</v>
      </c>
      <c r="Z158" s="2">
        <f t="shared" si="8"/>
        <v>1</v>
      </c>
      <c r="AA158" s="2">
        <f t="shared" si="9"/>
        <v>1</v>
      </c>
      <c r="AB158" s="2">
        <v>127</v>
      </c>
    </row>
    <row r="159" spans="1:28" x14ac:dyDescent="0.75">
      <c r="A159" s="3">
        <v>1</v>
      </c>
      <c r="B159" s="2">
        <f t="shared" si="10"/>
        <v>8</v>
      </c>
      <c r="C159" s="3">
        <v>47</v>
      </c>
      <c r="D159" s="3" t="s">
        <v>86</v>
      </c>
      <c r="G159" s="3">
        <v>2000</v>
      </c>
      <c r="P159" s="3">
        <v>1146</v>
      </c>
      <c r="S159" s="3" t="s">
        <v>118</v>
      </c>
      <c r="T159" s="2">
        <v>1000000</v>
      </c>
      <c r="X159" s="3" t="s">
        <v>60</v>
      </c>
      <c r="Y159" s="3" t="s">
        <v>19</v>
      </c>
      <c r="Z159" s="2">
        <f t="shared" si="8"/>
        <v>1</v>
      </c>
      <c r="AA159" s="2">
        <f t="shared" si="9"/>
        <v>1</v>
      </c>
      <c r="AB159" s="2">
        <v>128</v>
      </c>
    </row>
    <row r="160" spans="1:28" x14ac:dyDescent="0.75">
      <c r="A160" s="3">
        <v>1</v>
      </c>
      <c r="B160" s="2">
        <f t="shared" si="10"/>
        <v>8</v>
      </c>
      <c r="C160" s="3">
        <v>48</v>
      </c>
      <c r="D160" s="3" t="s">
        <v>86</v>
      </c>
      <c r="G160" s="3">
        <v>2000</v>
      </c>
      <c r="P160" s="3">
        <v>1147</v>
      </c>
      <c r="S160" s="3" t="s">
        <v>118</v>
      </c>
      <c r="T160" s="2">
        <v>1000000</v>
      </c>
      <c r="X160" s="3" t="s">
        <v>60</v>
      </c>
      <c r="Y160" s="3" t="s">
        <v>19</v>
      </c>
      <c r="Z160" s="2">
        <f t="shared" si="8"/>
        <v>1</v>
      </c>
      <c r="AA160" s="2">
        <f t="shared" si="9"/>
        <v>1</v>
      </c>
      <c r="AB160" s="2">
        <v>129</v>
      </c>
    </row>
    <row r="161" spans="1:28" x14ac:dyDescent="0.75">
      <c r="A161" s="3">
        <v>1</v>
      </c>
      <c r="B161" s="2">
        <f t="shared" si="10"/>
        <v>8</v>
      </c>
      <c r="C161" s="3">
        <v>49</v>
      </c>
      <c r="D161" s="3" t="s">
        <v>86</v>
      </c>
      <c r="G161" s="3">
        <v>2000</v>
      </c>
      <c r="P161" s="3">
        <v>1148</v>
      </c>
      <c r="S161" s="3" t="s">
        <v>118</v>
      </c>
      <c r="T161" s="2">
        <v>1000000</v>
      </c>
      <c r="X161" s="3" t="s">
        <v>60</v>
      </c>
      <c r="Y161" s="3" t="s">
        <v>19</v>
      </c>
      <c r="Z161" s="2">
        <f t="shared" si="8"/>
        <v>1</v>
      </c>
      <c r="AA161" s="2">
        <f t="shared" si="9"/>
        <v>1</v>
      </c>
      <c r="AB161" s="2">
        <v>130</v>
      </c>
    </row>
    <row r="162" spans="1:28" x14ac:dyDescent="0.75">
      <c r="A162" s="3">
        <v>1</v>
      </c>
      <c r="B162" s="2">
        <f t="shared" si="10"/>
        <v>8</v>
      </c>
      <c r="C162" s="3">
        <v>50</v>
      </c>
      <c r="D162" s="3" t="s">
        <v>86</v>
      </c>
      <c r="G162" s="3">
        <v>2000</v>
      </c>
      <c r="P162" s="3">
        <v>1149</v>
      </c>
      <c r="S162" s="3" t="s">
        <v>118</v>
      </c>
      <c r="T162" s="2">
        <v>1000000</v>
      </c>
      <c r="X162" s="3" t="s">
        <v>60</v>
      </c>
      <c r="Y162" s="3" t="s">
        <v>19</v>
      </c>
      <c r="Z162" s="2">
        <f t="shared" si="8"/>
        <v>1</v>
      </c>
      <c r="AA162" s="2">
        <f t="shared" si="9"/>
        <v>1</v>
      </c>
      <c r="AB162" s="2">
        <v>131</v>
      </c>
    </row>
    <row r="163" spans="1:28" x14ac:dyDescent="0.75">
      <c r="A163" s="3">
        <v>1</v>
      </c>
      <c r="B163" s="2">
        <f t="shared" ref="B163:B164" si="11">IF(C163=1,B162+1,B162)</f>
        <v>9</v>
      </c>
      <c r="C163" s="3">
        <v>1</v>
      </c>
      <c r="D163" s="3" t="s">
        <v>86</v>
      </c>
      <c r="G163" s="3">
        <v>2000</v>
      </c>
      <c r="P163" s="3">
        <v>1150</v>
      </c>
      <c r="S163" s="3" t="s">
        <v>118</v>
      </c>
      <c r="T163" s="2">
        <v>1000000</v>
      </c>
      <c r="X163" s="3" t="s">
        <v>60</v>
      </c>
      <c r="Y163" s="3" t="s">
        <v>19</v>
      </c>
      <c r="Z163" s="2">
        <f t="shared" si="8"/>
        <v>1</v>
      </c>
      <c r="AA163" s="2">
        <f t="shared" si="9"/>
        <v>1</v>
      </c>
      <c r="AB163" s="2">
        <v>132</v>
      </c>
    </row>
    <row r="164" spans="1:28" x14ac:dyDescent="0.75">
      <c r="A164" s="3">
        <v>1</v>
      </c>
      <c r="B164" s="2">
        <f t="shared" si="11"/>
        <v>9</v>
      </c>
      <c r="C164" s="3">
        <v>2</v>
      </c>
      <c r="D164" s="3" t="s">
        <v>86</v>
      </c>
      <c r="G164" s="3">
        <v>2000</v>
      </c>
      <c r="P164" s="3">
        <v>1151</v>
      </c>
      <c r="S164" s="3" t="s">
        <v>118</v>
      </c>
      <c r="T164" s="2">
        <v>1000000</v>
      </c>
      <c r="X164" s="3" t="s">
        <v>60</v>
      </c>
      <c r="Y164" s="3" t="s">
        <v>19</v>
      </c>
      <c r="Z164" s="2">
        <f t="shared" si="8"/>
        <v>1</v>
      </c>
      <c r="AA164" s="2">
        <f t="shared" si="9"/>
        <v>1</v>
      </c>
      <c r="AB164" s="2">
        <v>133</v>
      </c>
    </row>
    <row r="165" spans="1:28" x14ac:dyDescent="0.75">
      <c r="A165" s="3">
        <v>1</v>
      </c>
      <c r="B165" s="2">
        <f t="shared" ref="B165:B214" si="12">IF(C165=1,B164+1,B164)</f>
        <v>9</v>
      </c>
      <c r="C165" s="3">
        <v>3</v>
      </c>
      <c r="D165" s="3" t="s">
        <v>86</v>
      </c>
      <c r="G165" s="3">
        <v>2000</v>
      </c>
      <c r="P165" s="3">
        <v>1152</v>
      </c>
      <c r="S165" s="3" t="s">
        <v>118</v>
      </c>
      <c r="T165" s="2">
        <v>1000000</v>
      </c>
      <c r="X165" s="3" t="s">
        <v>60</v>
      </c>
      <c r="Y165" s="3" t="s">
        <v>19</v>
      </c>
      <c r="Z165" s="2">
        <f t="shared" si="8"/>
        <v>1</v>
      </c>
      <c r="AA165" s="2">
        <f t="shared" si="9"/>
        <v>1</v>
      </c>
      <c r="AB165" s="2">
        <v>134</v>
      </c>
    </row>
    <row r="166" spans="1:28" x14ac:dyDescent="0.75">
      <c r="A166" s="3">
        <v>1</v>
      </c>
      <c r="B166" s="2">
        <f t="shared" si="12"/>
        <v>9</v>
      </c>
      <c r="C166" s="3">
        <v>4</v>
      </c>
      <c r="D166" s="3" t="s">
        <v>86</v>
      </c>
      <c r="G166" s="3">
        <v>2000</v>
      </c>
      <c r="P166" s="3">
        <v>1153</v>
      </c>
      <c r="S166" s="3" t="s">
        <v>118</v>
      </c>
      <c r="T166" s="2">
        <v>1000000</v>
      </c>
      <c r="X166" s="3" t="s">
        <v>60</v>
      </c>
      <c r="Y166" s="3" t="s">
        <v>19</v>
      </c>
      <c r="Z166" s="2">
        <f t="shared" si="8"/>
        <v>1</v>
      </c>
      <c r="AA166" s="2">
        <f t="shared" si="9"/>
        <v>1</v>
      </c>
      <c r="AB166" s="2">
        <v>135</v>
      </c>
    </row>
    <row r="167" spans="1:28" x14ac:dyDescent="0.75">
      <c r="A167" s="3">
        <v>1</v>
      </c>
      <c r="B167" s="2">
        <f t="shared" si="12"/>
        <v>9</v>
      </c>
      <c r="C167" s="3">
        <v>5</v>
      </c>
      <c r="D167" s="3" t="s">
        <v>86</v>
      </c>
      <c r="G167" s="3">
        <v>2000</v>
      </c>
      <c r="P167" s="3">
        <v>1154</v>
      </c>
      <c r="S167" s="3" t="s">
        <v>118</v>
      </c>
      <c r="T167" s="2">
        <v>1000000</v>
      </c>
      <c r="X167" s="3" t="s">
        <v>60</v>
      </c>
      <c r="Y167" s="3" t="s">
        <v>19</v>
      </c>
      <c r="Z167" s="2">
        <f t="shared" si="8"/>
        <v>1</v>
      </c>
      <c r="AA167" s="2">
        <f t="shared" si="9"/>
        <v>1</v>
      </c>
      <c r="AB167" s="2">
        <v>136</v>
      </c>
    </row>
    <row r="168" spans="1:28" x14ac:dyDescent="0.75">
      <c r="A168" s="3">
        <v>1</v>
      </c>
      <c r="B168" s="2">
        <f t="shared" si="12"/>
        <v>9</v>
      </c>
      <c r="C168" s="3">
        <v>6</v>
      </c>
      <c r="D168" s="3" t="s">
        <v>86</v>
      </c>
      <c r="G168" s="3">
        <v>2000</v>
      </c>
      <c r="P168" s="3">
        <v>1155</v>
      </c>
      <c r="S168" s="3" t="s">
        <v>118</v>
      </c>
      <c r="T168" s="2">
        <v>1000000</v>
      </c>
      <c r="X168" s="3" t="s">
        <v>60</v>
      </c>
      <c r="Y168" s="3" t="s">
        <v>19</v>
      </c>
      <c r="Z168" s="2">
        <f t="shared" si="8"/>
        <v>1</v>
      </c>
      <c r="AA168" s="2">
        <f t="shared" si="9"/>
        <v>1</v>
      </c>
      <c r="AB168" s="2">
        <v>137</v>
      </c>
    </row>
    <row r="169" spans="1:28" x14ac:dyDescent="0.75">
      <c r="A169" s="3">
        <v>1</v>
      </c>
      <c r="B169" s="2">
        <f t="shared" si="12"/>
        <v>9</v>
      </c>
      <c r="C169" s="3">
        <v>7</v>
      </c>
      <c r="D169" s="3" t="s">
        <v>86</v>
      </c>
      <c r="G169" s="3">
        <v>2000</v>
      </c>
      <c r="P169" s="3">
        <v>1156</v>
      </c>
      <c r="S169" s="3" t="s">
        <v>118</v>
      </c>
      <c r="T169" s="2">
        <v>1000000</v>
      </c>
      <c r="X169" s="3" t="s">
        <v>60</v>
      </c>
      <c r="Y169" s="3" t="s">
        <v>19</v>
      </c>
      <c r="Z169" s="2">
        <f t="shared" si="8"/>
        <v>1</v>
      </c>
      <c r="AA169" s="2">
        <f t="shared" si="9"/>
        <v>1</v>
      </c>
      <c r="AB169" s="2">
        <v>138</v>
      </c>
    </row>
    <row r="170" spans="1:28" x14ac:dyDescent="0.75">
      <c r="A170" s="3">
        <v>1</v>
      </c>
      <c r="B170" s="2">
        <f t="shared" si="12"/>
        <v>9</v>
      </c>
      <c r="C170" s="3">
        <v>8</v>
      </c>
      <c r="D170" s="3" t="s">
        <v>86</v>
      </c>
      <c r="G170" s="3">
        <v>2000</v>
      </c>
      <c r="P170" s="3">
        <v>1157</v>
      </c>
      <c r="S170" s="3" t="s">
        <v>118</v>
      </c>
      <c r="T170" s="2">
        <v>1000000</v>
      </c>
      <c r="X170" s="3" t="s">
        <v>60</v>
      </c>
      <c r="Y170" s="3" t="s">
        <v>19</v>
      </c>
      <c r="Z170" s="2">
        <f t="shared" si="8"/>
        <v>1</v>
      </c>
      <c r="AA170" s="2">
        <f t="shared" si="9"/>
        <v>1</v>
      </c>
      <c r="AB170" s="2">
        <v>139</v>
      </c>
    </row>
    <row r="171" spans="1:28" x14ac:dyDescent="0.75">
      <c r="A171" s="3">
        <v>1</v>
      </c>
      <c r="B171" s="2">
        <f t="shared" si="12"/>
        <v>9</v>
      </c>
      <c r="C171" s="3">
        <v>9</v>
      </c>
      <c r="D171" s="3" t="s">
        <v>86</v>
      </c>
      <c r="G171" s="3">
        <v>2000</v>
      </c>
      <c r="P171" s="3">
        <v>1158</v>
      </c>
      <c r="S171" s="3" t="s">
        <v>118</v>
      </c>
      <c r="T171" s="2">
        <v>1000000</v>
      </c>
      <c r="X171" s="3" t="s">
        <v>60</v>
      </c>
      <c r="Y171" s="3" t="s">
        <v>19</v>
      </c>
      <c r="Z171" s="2">
        <f t="shared" si="8"/>
        <v>1</v>
      </c>
      <c r="AA171" s="2">
        <f t="shared" si="9"/>
        <v>1</v>
      </c>
      <c r="AB171" s="2">
        <v>140</v>
      </c>
    </row>
    <row r="172" spans="1:28" x14ac:dyDescent="0.75">
      <c r="A172" s="3">
        <v>1</v>
      </c>
      <c r="B172" s="2">
        <f t="shared" si="12"/>
        <v>9</v>
      </c>
      <c r="C172" s="3">
        <v>10</v>
      </c>
      <c r="D172" s="3" t="s">
        <v>86</v>
      </c>
      <c r="G172" s="3">
        <v>2000</v>
      </c>
      <c r="P172" s="3">
        <v>1159</v>
      </c>
      <c r="S172" s="3" t="s">
        <v>118</v>
      </c>
      <c r="T172" s="2">
        <v>1000000</v>
      </c>
      <c r="X172" s="3" t="s">
        <v>60</v>
      </c>
      <c r="Y172" s="3" t="s">
        <v>19</v>
      </c>
      <c r="Z172" s="2">
        <f t="shared" si="8"/>
        <v>1</v>
      </c>
      <c r="AA172" s="2">
        <f t="shared" si="9"/>
        <v>1</v>
      </c>
      <c r="AB172" s="2">
        <v>141</v>
      </c>
    </row>
    <row r="173" spans="1:28" x14ac:dyDescent="0.75">
      <c r="A173" s="3">
        <v>1</v>
      </c>
      <c r="B173" s="2">
        <f t="shared" si="12"/>
        <v>9</v>
      </c>
      <c r="C173" s="3">
        <v>11</v>
      </c>
      <c r="D173" s="3" t="s">
        <v>86</v>
      </c>
      <c r="G173" s="3">
        <v>2000</v>
      </c>
      <c r="P173" s="3">
        <v>1160</v>
      </c>
      <c r="S173" s="3" t="s">
        <v>118</v>
      </c>
      <c r="T173" s="2">
        <v>1000000</v>
      </c>
      <c r="X173" s="3" t="s">
        <v>60</v>
      </c>
      <c r="Y173" s="3" t="s">
        <v>19</v>
      </c>
      <c r="Z173" s="2">
        <f t="shared" si="8"/>
        <v>1</v>
      </c>
      <c r="AA173" s="2">
        <f t="shared" si="9"/>
        <v>1</v>
      </c>
      <c r="AB173" s="2">
        <v>142</v>
      </c>
    </row>
    <row r="174" spans="1:28" x14ac:dyDescent="0.75">
      <c r="A174" s="3">
        <v>1</v>
      </c>
      <c r="B174" s="2">
        <f t="shared" si="12"/>
        <v>9</v>
      </c>
      <c r="C174" s="3">
        <v>12</v>
      </c>
      <c r="D174" s="3" t="s">
        <v>86</v>
      </c>
      <c r="G174" s="3">
        <v>2000</v>
      </c>
      <c r="P174" s="3">
        <v>1161</v>
      </c>
      <c r="S174" s="3" t="s">
        <v>118</v>
      </c>
      <c r="T174" s="2">
        <v>1000000</v>
      </c>
      <c r="X174" s="3" t="s">
        <v>60</v>
      </c>
      <c r="Y174" s="3" t="s">
        <v>19</v>
      </c>
      <c r="Z174" s="2">
        <f t="shared" si="8"/>
        <v>1</v>
      </c>
      <c r="AA174" s="2">
        <f t="shared" si="9"/>
        <v>1</v>
      </c>
      <c r="AB174" s="2">
        <v>143</v>
      </c>
    </row>
    <row r="175" spans="1:28" x14ac:dyDescent="0.75">
      <c r="A175" s="3">
        <v>1</v>
      </c>
      <c r="B175" s="2">
        <f t="shared" si="12"/>
        <v>9</v>
      </c>
      <c r="C175" s="3">
        <v>13</v>
      </c>
      <c r="D175" s="3" t="s">
        <v>86</v>
      </c>
      <c r="G175" s="3">
        <v>2000</v>
      </c>
      <c r="P175" s="3">
        <v>1162</v>
      </c>
      <c r="S175" s="3" t="s">
        <v>118</v>
      </c>
      <c r="T175" s="2">
        <v>1000000</v>
      </c>
      <c r="X175" s="3" t="s">
        <v>60</v>
      </c>
      <c r="Y175" s="3" t="s">
        <v>19</v>
      </c>
      <c r="Z175" s="2">
        <f t="shared" si="8"/>
        <v>1</v>
      </c>
      <c r="AA175" s="2">
        <f t="shared" si="9"/>
        <v>1</v>
      </c>
      <c r="AB175" s="2">
        <v>144</v>
      </c>
    </row>
    <row r="176" spans="1:28" x14ac:dyDescent="0.75">
      <c r="A176" s="3">
        <v>1</v>
      </c>
      <c r="B176" s="2">
        <f t="shared" si="12"/>
        <v>9</v>
      </c>
      <c r="C176" s="3">
        <v>14</v>
      </c>
      <c r="D176" s="3" t="s">
        <v>86</v>
      </c>
      <c r="G176" s="3">
        <v>2000</v>
      </c>
      <c r="P176" s="3">
        <v>1163</v>
      </c>
      <c r="S176" s="3" t="s">
        <v>118</v>
      </c>
      <c r="T176" s="2">
        <v>1000000</v>
      </c>
      <c r="X176" s="3" t="s">
        <v>60</v>
      </c>
      <c r="Y176" s="3" t="s">
        <v>19</v>
      </c>
      <c r="Z176" s="2">
        <f t="shared" si="8"/>
        <v>1</v>
      </c>
      <c r="AA176" s="2">
        <f t="shared" si="9"/>
        <v>1</v>
      </c>
      <c r="AB176" s="2">
        <v>145</v>
      </c>
    </row>
    <row r="177" spans="1:28" x14ac:dyDescent="0.75">
      <c r="A177" s="3">
        <v>1</v>
      </c>
      <c r="B177" s="2">
        <f t="shared" si="12"/>
        <v>9</v>
      </c>
      <c r="C177" s="3">
        <v>15</v>
      </c>
      <c r="D177" s="3" t="s">
        <v>86</v>
      </c>
      <c r="G177" s="3">
        <v>2000</v>
      </c>
      <c r="P177" s="3">
        <v>1164</v>
      </c>
      <c r="S177" s="3" t="s">
        <v>118</v>
      </c>
      <c r="T177" s="2">
        <v>1000000</v>
      </c>
      <c r="X177" s="3" t="s">
        <v>60</v>
      </c>
      <c r="Y177" s="3" t="s">
        <v>19</v>
      </c>
      <c r="Z177" s="2">
        <f t="shared" si="8"/>
        <v>1</v>
      </c>
      <c r="AA177" s="2">
        <f t="shared" si="9"/>
        <v>1</v>
      </c>
      <c r="AB177" s="2">
        <v>146</v>
      </c>
    </row>
    <row r="178" spans="1:28" x14ac:dyDescent="0.75">
      <c r="A178" s="3">
        <v>1</v>
      </c>
      <c r="B178" s="2">
        <f t="shared" si="12"/>
        <v>9</v>
      </c>
      <c r="C178" s="3">
        <v>16</v>
      </c>
      <c r="D178" s="3" t="s">
        <v>86</v>
      </c>
      <c r="G178" s="3">
        <v>2000</v>
      </c>
      <c r="P178" s="3">
        <v>1165</v>
      </c>
      <c r="S178" s="3" t="s">
        <v>118</v>
      </c>
      <c r="T178" s="2">
        <v>1000000</v>
      </c>
      <c r="X178" s="3" t="s">
        <v>60</v>
      </c>
      <c r="Y178" s="3" t="s">
        <v>19</v>
      </c>
      <c r="Z178" s="2">
        <f t="shared" si="8"/>
        <v>1</v>
      </c>
      <c r="AA178" s="2">
        <f t="shared" si="9"/>
        <v>1</v>
      </c>
      <c r="AB178" s="2">
        <v>147</v>
      </c>
    </row>
    <row r="179" spans="1:28" x14ac:dyDescent="0.75">
      <c r="A179" s="3">
        <v>1</v>
      </c>
      <c r="B179" s="2">
        <f t="shared" si="12"/>
        <v>9</v>
      </c>
      <c r="C179" s="3">
        <v>17</v>
      </c>
      <c r="D179" s="3" t="s">
        <v>86</v>
      </c>
      <c r="G179" s="3">
        <v>2000</v>
      </c>
      <c r="P179" s="3">
        <v>1166</v>
      </c>
      <c r="S179" s="3" t="s">
        <v>118</v>
      </c>
      <c r="T179" s="2">
        <v>1000000</v>
      </c>
      <c r="X179" s="3" t="s">
        <v>60</v>
      </c>
      <c r="Y179" s="3" t="s">
        <v>19</v>
      </c>
      <c r="Z179" s="2">
        <f t="shared" si="8"/>
        <v>1</v>
      </c>
      <c r="AA179" s="2">
        <f t="shared" si="9"/>
        <v>1</v>
      </c>
      <c r="AB179" s="2">
        <v>148</v>
      </c>
    </row>
    <row r="180" spans="1:28" x14ac:dyDescent="0.75">
      <c r="A180" s="3">
        <v>1</v>
      </c>
      <c r="B180" s="2">
        <f t="shared" si="12"/>
        <v>9</v>
      </c>
      <c r="C180" s="3">
        <v>18</v>
      </c>
      <c r="D180" s="3" t="s">
        <v>86</v>
      </c>
      <c r="G180" s="3">
        <v>2000</v>
      </c>
      <c r="P180" s="3">
        <v>1167</v>
      </c>
      <c r="S180" s="3" t="s">
        <v>118</v>
      </c>
      <c r="T180" s="2">
        <v>1000000</v>
      </c>
      <c r="X180" s="3" t="s">
        <v>60</v>
      </c>
      <c r="Y180" s="3" t="s">
        <v>19</v>
      </c>
      <c r="Z180" s="2">
        <f t="shared" si="8"/>
        <v>1</v>
      </c>
      <c r="AA180" s="2">
        <f t="shared" si="9"/>
        <v>1</v>
      </c>
      <c r="AB180" s="2">
        <v>149</v>
      </c>
    </row>
    <row r="181" spans="1:28" x14ac:dyDescent="0.75">
      <c r="A181" s="3">
        <v>1</v>
      </c>
      <c r="B181" s="2">
        <f t="shared" si="12"/>
        <v>9</v>
      </c>
      <c r="C181" s="3">
        <v>19</v>
      </c>
      <c r="D181" s="3" t="s">
        <v>86</v>
      </c>
      <c r="G181" s="3">
        <v>2000</v>
      </c>
      <c r="P181" s="3">
        <v>1168</v>
      </c>
      <c r="S181" s="3" t="s">
        <v>118</v>
      </c>
      <c r="T181" s="2">
        <v>1000000</v>
      </c>
      <c r="X181" s="3" t="s">
        <v>60</v>
      </c>
      <c r="Y181" s="3" t="s">
        <v>19</v>
      </c>
      <c r="Z181" s="2">
        <f t="shared" si="8"/>
        <v>1</v>
      </c>
      <c r="AA181" s="2">
        <f t="shared" si="9"/>
        <v>1</v>
      </c>
      <c r="AB181" s="2">
        <v>150</v>
      </c>
    </row>
    <row r="182" spans="1:28" x14ac:dyDescent="0.75">
      <c r="A182" s="3">
        <v>1</v>
      </c>
      <c r="B182" s="2">
        <f t="shared" si="12"/>
        <v>9</v>
      </c>
      <c r="C182" s="3">
        <v>20</v>
      </c>
      <c r="D182" s="3" t="s">
        <v>86</v>
      </c>
      <c r="G182" s="3">
        <v>2000</v>
      </c>
      <c r="P182" s="3">
        <v>1169</v>
      </c>
      <c r="S182" s="3" t="s">
        <v>118</v>
      </c>
      <c r="T182" s="2">
        <v>1000000</v>
      </c>
      <c r="X182" s="3" t="s">
        <v>60</v>
      </c>
      <c r="Y182" s="3" t="s">
        <v>19</v>
      </c>
      <c r="Z182" s="2">
        <f t="shared" si="8"/>
        <v>1</v>
      </c>
      <c r="AA182" s="2">
        <f t="shared" si="9"/>
        <v>1</v>
      </c>
      <c r="AB182" s="2">
        <v>151</v>
      </c>
    </row>
    <row r="183" spans="1:28" x14ac:dyDescent="0.75">
      <c r="A183" s="3">
        <v>1</v>
      </c>
      <c r="B183" s="2">
        <f t="shared" si="12"/>
        <v>9</v>
      </c>
      <c r="C183" s="3">
        <v>21</v>
      </c>
      <c r="D183" s="3" t="s">
        <v>86</v>
      </c>
      <c r="G183" s="3">
        <v>2000</v>
      </c>
      <c r="P183" s="3">
        <v>1170</v>
      </c>
      <c r="S183" s="3" t="s">
        <v>118</v>
      </c>
      <c r="T183" s="2">
        <v>1000000</v>
      </c>
      <c r="X183" s="3" t="s">
        <v>60</v>
      </c>
      <c r="Y183" s="3" t="s">
        <v>19</v>
      </c>
      <c r="Z183" s="2">
        <f t="shared" si="8"/>
        <v>1</v>
      </c>
      <c r="AA183" s="2">
        <f t="shared" si="9"/>
        <v>1</v>
      </c>
      <c r="AB183" s="2">
        <v>152</v>
      </c>
    </row>
    <row r="184" spans="1:28" x14ac:dyDescent="0.75">
      <c r="A184" s="3">
        <v>1</v>
      </c>
      <c r="B184" s="2">
        <f t="shared" si="12"/>
        <v>9</v>
      </c>
      <c r="C184" s="3">
        <v>22</v>
      </c>
      <c r="D184" s="3" t="s">
        <v>86</v>
      </c>
      <c r="G184" s="3">
        <v>2000</v>
      </c>
      <c r="P184" s="3">
        <v>1171</v>
      </c>
      <c r="S184" s="3" t="s">
        <v>118</v>
      </c>
      <c r="T184" s="2">
        <v>1000000</v>
      </c>
      <c r="X184" s="3" t="s">
        <v>60</v>
      </c>
      <c r="Y184" s="3" t="s">
        <v>19</v>
      </c>
      <c r="Z184" s="2">
        <f t="shared" ref="Z184:Z247" si="13">IF(T184&gt;0,1,0)+IF(U184&gt;0,1,0)+IF(V184&gt;0,1,0)+IF(W184&gt;0,1,0)</f>
        <v>1</v>
      </c>
      <c r="AA184" s="2">
        <f t="shared" ref="AA184:AA247" si="14">IF(Y184="OK",Z184,0)</f>
        <v>1</v>
      </c>
      <c r="AB184" s="2">
        <v>153</v>
      </c>
    </row>
    <row r="185" spans="1:28" x14ac:dyDescent="0.75">
      <c r="A185" s="3">
        <v>1</v>
      </c>
      <c r="B185" s="2">
        <f t="shared" si="12"/>
        <v>9</v>
      </c>
      <c r="C185" s="3">
        <v>23</v>
      </c>
      <c r="D185" s="3" t="s">
        <v>86</v>
      </c>
      <c r="G185" s="3">
        <v>2000</v>
      </c>
      <c r="P185" s="3">
        <v>1172</v>
      </c>
      <c r="S185" s="3" t="s">
        <v>118</v>
      </c>
      <c r="T185" s="2">
        <v>1000000</v>
      </c>
      <c r="X185" s="3" t="s">
        <v>60</v>
      </c>
      <c r="Y185" s="3" t="s">
        <v>19</v>
      </c>
      <c r="Z185" s="2">
        <f t="shared" si="13"/>
        <v>1</v>
      </c>
      <c r="AA185" s="2">
        <f t="shared" si="14"/>
        <v>1</v>
      </c>
      <c r="AB185" s="2">
        <v>154</v>
      </c>
    </row>
    <row r="186" spans="1:28" x14ac:dyDescent="0.75">
      <c r="A186" s="3">
        <v>1</v>
      </c>
      <c r="B186" s="2">
        <f t="shared" si="12"/>
        <v>9</v>
      </c>
      <c r="C186" s="3">
        <v>24</v>
      </c>
      <c r="D186" s="3" t="s">
        <v>86</v>
      </c>
      <c r="G186" s="3">
        <v>2000</v>
      </c>
      <c r="P186" s="3">
        <v>1173</v>
      </c>
      <c r="S186" s="3" t="s">
        <v>118</v>
      </c>
      <c r="T186" s="2">
        <v>1000000</v>
      </c>
      <c r="X186" s="3" t="s">
        <v>60</v>
      </c>
      <c r="Y186" s="3" t="s">
        <v>19</v>
      </c>
      <c r="Z186" s="2">
        <f t="shared" si="13"/>
        <v>1</v>
      </c>
      <c r="AA186" s="2">
        <f t="shared" si="14"/>
        <v>1</v>
      </c>
      <c r="AB186" s="2">
        <v>155</v>
      </c>
    </row>
    <row r="187" spans="1:28" x14ac:dyDescent="0.75">
      <c r="A187" s="3">
        <v>1</v>
      </c>
      <c r="B187" s="2">
        <f t="shared" si="12"/>
        <v>9</v>
      </c>
      <c r="C187" s="3">
        <v>25</v>
      </c>
      <c r="D187" s="3" t="s">
        <v>86</v>
      </c>
      <c r="G187" s="3">
        <v>2000</v>
      </c>
      <c r="P187" s="3">
        <v>1174</v>
      </c>
      <c r="S187" s="3" t="s">
        <v>118</v>
      </c>
      <c r="T187" s="2">
        <v>1000000</v>
      </c>
      <c r="X187" s="3" t="s">
        <v>60</v>
      </c>
      <c r="Y187" s="3" t="s">
        <v>19</v>
      </c>
      <c r="Z187" s="2">
        <f t="shared" si="13"/>
        <v>1</v>
      </c>
      <c r="AA187" s="2">
        <f t="shared" si="14"/>
        <v>1</v>
      </c>
      <c r="AB187" s="2">
        <v>156</v>
      </c>
    </row>
    <row r="188" spans="1:28" x14ac:dyDescent="0.75">
      <c r="A188" s="3">
        <v>1</v>
      </c>
      <c r="B188" s="2">
        <f t="shared" si="12"/>
        <v>9</v>
      </c>
      <c r="C188" s="3">
        <v>26</v>
      </c>
      <c r="D188" s="3" t="s">
        <v>86</v>
      </c>
      <c r="G188" s="3">
        <v>2000</v>
      </c>
      <c r="P188" s="3">
        <v>1175</v>
      </c>
      <c r="S188" s="3" t="s">
        <v>118</v>
      </c>
      <c r="T188" s="2">
        <v>1000000</v>
      </c>
      <c r="X188" s="3" t="s">
        <v>60</v>
      </c>
      <c r="Y188" s="3" t="s">
        <v>19</v>
      </c>
      <c r="Z188" s="2">
        <f t="shared" si="13"/>
        <v>1</v>
      </c>
      <c r="AA188" s="2">
        <f t="shared" si="14"/>
        <v>1</v>
      </c>
      <c r="AB188" s="2">
        <v>157</v>
      </c>
    </row>
    <row r="189" spans="1:28" x14ac:dyDescent="0.75">
      <c r="A189" s="3">
        <v>1</v>
      </c>
      <c r="B189" s="2">
        <f t="shared" si="12"/>
        <v>9</v>
      </c>
      <c r="C189" s="3">
        <v>27</v>
      </c>
      <c r="D189" s="3" t="s">
        <v>86</v>
      </c>
      <c r="G189" s="3">
        <v>2000</v>
      </c>
      <c r="P189" s="3">
        <v>1176</v>
      </c>
      <c r="S189" s="3" t="s">
        <v>118</v>
      </c>
      <c r="T189" s="2">
        <v>1000000</v>
      </c>
      <c r="X189" s="3" t="s">
        <v>60</v>
      </c>
      <c r="Y189" s="3" t="s">
        <v>19</v>
      </c>
      <c r="Z189" s="2">
        <f t="shared" si="13"/>
        <v>1</v>
      </c>
      <c r="AA189" s="2">
        <f t="shared" si="14"/>
        <v>1</v>
      </c>
      <c r="AB189" s="2">
        <v>158</v>
      </c>
    </row>
    <row r="190" spans="1:28" x14ac:dyDescent="0.75">
      <c r="A190" s="3">
        <v>1</v>
      </c>
      <c r="B190" s="2">
        <f t="shared" si="12"/>
        <v>9</v>
      </c>
      <c r="C190" s="3">
        <v>28</v>
      </c>
      <c r="D190" s="3" t="s">
        <v>86</v>
      </c>
      <c r="G190" s="3">
        <v>2000</v>
      </c>
      <c r="P190" s="3">
        <v>1177</v>
      </c>
      <c r="S190" s="3" t="s">
        <v>118</v>
      </c>
      <c r="T190" s="2">
        <v>1000000</v>
      </c>
      <c r="X190" s="3" t="s">
        <v>60</v>
      </c>
      <c r="Y190" s="3" t="s">
        <v>19</v>
      </c>
      <c r="Z190" s="2">
        <f t="shared" si="13"/>
        <v>1</v>
      </c>
      <c r="AA190" s="2">
        <f t="shared" si="14"/>
        <v>1</v>
      </c>
      <c r="AB190" s="2">
        <v>159</v>
      </c>
    </row>
    <row r="191" spans="1:28" x14ac:dyDescent="0.75">
      <c r="A191" s="3">
        <v>1</v>
      </c>
      <c r="B191" s="2">
        <f t="shared" si="12"/>
        <v>9</v>
      </c>
      <c r="C191" s="3">
        <v>29</v>
      </c>
      <c r="D191" s="3" t="s">
        <v>86</v>
      </c>
      <c r="G191" s="3">
        <v>2000</v>
      </c>
      <c r="P191" s="3">
        <v>1178</v>
      </c>
      <c r="S191" s="3" t="s">
        <v>118</v>
      </c>
      <c r="T191" s="2">
        <v>1000000</v>
      </c>
      <c r="X191" s="3" t="s">
        <v>60</v>
      </c>
      <c r="Y191" s="3" t="s">
        <v>19</v>
      </c>
      <c r="Z191" s="2">
        <f t="shared" si="13"/>
        <v>1</v>
      </c>
      <c r="AA191" s="2">
        <f t="shared" si="14"/>
        <v>1</v>
      </c>
      <c r="AB191" s="2">
        <v>160</v>
      </c>
    </row>
    <row r="192" spans="1:28" x14ac:dyDescent="0.75">
      <c r="A192" s="3">
        <v>1</v>
      </c>
      <c r="B192" s="2">
        <f t="shared" si="12"/>
        <v>9</v>
      </c>
      <c r="C192" s="3">
        <v>30</v>
      </c>
      <c r="D192" s="3" t="s">
        <v>86</v>
      </c>
      <c r="G192" s="3">
        <v>2000</v>
      </c>
      <c r="P192" s="3">
        <v>1179</v>
      </c>
      <c r="S192" s="3" t="s">
        <v>118</v>
      </c>
      <c r="T192" s="2">
        <v>1000000</v>
      </c>
      <c r="X192" s="3" t="s">
        <v>60</v>
      </c>
      <c r="Y192" s="3" t="s">
        <v>19</v>
      </c>
      <c r="Z192" s="2">
        <f t="shared" si="13"/>
        <v>1</v>
      </c>
      <c r="AA192" s="2">
        <f t="shared" si="14"/>
        <v>1</v>
      </c>
      <c r="AB192" s="2">
        <v>161</v>
      </c>
    </row>
    <row r="193" spans="1:28" x14ac:dyDescent="0.75">
      <c r="A193" s="3">
        <v>1</v>
      </c>
      <c r="B193" s="2">
        <f t="shared" si="12"/>
        <v>9</v>
      </c>
      <c r="C193" s="3">
        <v>31</v>
      </c>
      <c r="D193" s="3" t="s">
        <v>86</v>
      </c>
      <c r="G193" s="3">
        <v>2000</v>
      </c>
      <c r="P193" s="3">
        <v>1180</v>
      </c>
      <c r="S193" s="3" t="s">
        <v>118</v>
      </c>
      <c r="T193" s="2">
        <v>1000000</v>
      </c>
      <c r="X193" s="3" t="s">
        <v>60</v>
      </c>
      <c r="Y193" s="3" t="s">
        <v>19</v>
      </c>
      <c r="Z193" s="2">
        <f t="shared" si="13"/>
        <v>1</v>
      </c>
      <c r="AA193" s="2">
        <f t="shared" si="14"/>
        <v>1</v>
      </c>
      <c r="AB193" s="2">
        <v>162</v>
      </c>
    </row>
    <row r="194" spans="1:28" x14ac:dyDescent="0.75">
      <c r="A194" s="3">
        <v>1</v>
      </c>
      <c r="B194" s="2">
        <f t="shared" si="12"/>
        <v>9</v>
      </c>
      <c r="C194" s="3">
        <v>32</v>
      </c>
      <c r="D194" s="3" t="s">
        <v>86</v>
      </c>
      <c r="G194" s="3">
        <v>2000</v>
      </c>
      <c r="P194" s="3">
        <v>1181</v>
      </c>
      <c r="S194" s="3" t="s">
        <v>118</v>
      </c>
      <c r="T194" s="2">
        <v>1000000</v>
      </c>
      <c r="X194" s="3" t="s">
        <v>60</v>
      </c>
      <c r="Y194" s="3" t="s">
        <v>19</v>
      </c>
      <c r="Z194" s="2">
        <f t="shared" si="13"/>
        <v>1</v>
      </c>
      <c r="AA194" s="2">
        <f t="shared" si="14"/>
        <v>1</v>
      </c>
      <c r="AB194" s="2">
        <v>163</v>
      </c>
    </row>
    <row r="195" spans="1:28" x14ac:dyDescent="0.75">
      <c r="A195" s="3">
        <v>1</v>
      </c>
      <c r="B195" s="2">
        <f t="shared" si="12"/>
        <v>9</v>
      </c>
      <c r="C195" s="3">
        <v>33</v>
      </c>
      <c r="D195" s="3" t="s">
        <v>86</v>
      </c>
      <c r="G195" s="3">
        <v>2000</v>
      </c>
      <c r="P195" s="3">
        <v>1182</v>
      </c>
      <c r="S195" s="3" t="s">
        <v>118</v>
      </c>
      <c r="T195" s="2">
        <v>1000000</v>
      </c>
      <c r="X195" s="3" t="s">
        <v>60</v>
      </c>
      <c r="Y195" s="3" t="s">
        <v>19</v>
      </c>
      <c r="Z195" s="2">
        <f t="shared" si="13"/>
        <v>1</v>
      </c>
      <c r="AA195" s="2">
        <f t="shared" si="14"/>
        <v>1</v>
      </c>
      <c r="AB195" s="2">
        <v>164</v>
      </c>
    </row>
    <row r="196" spans="1:28" x14ac:dyDescent="0.75">
      <c r="A196" s="3">
        <v>1</v>
      </c>
      <c r="B196" s="2">
        <f t="shared" si="12"/>
        <v>9</v>
      </c>
      <c r="C196" s="3">
        <v>34</v>
      </c>
      <c r="D196" s="3" t="s">
        <v>86</v>
      </c>
      <c r="G196" s="3">
        <v>2000</v>
      </c>
      <c r="P196" s="3">
        <v>1183</v>
      </c>
      <c r="S196" s="3" t="s">
        <v>118</v>
      </c>
      <c r="T196" s="2">
        <v>1000000</v>
      </c>
      <c r="X196" s="3" t="s">
        <v>60</v>
      </c>
      <c r="Y196" s="3" t="s">
        <v>19</v>
      </c>
      <c r="Z196" s="2">
        <f t="shared" si="13"/>
        <v>1</v>
      </c>
      <c r="AA196" s="2">
        <f t="shared" si="14"/>
        <v>1</v>
      </c>
      <c r="AB196" s="2">
        <v>165</v>
      </c>
    </row>
    <row r="197" spans="1:28" x14ac:dyDescent="0.75">
      <c r="A197" s="3">
        <v>1</v>
      </c>
      <c r="B197" s="2">
        <f t="shared" si="12"/>
        <v>9</v>
      </c>
      <c r="C197" s="3">
        <v>35</v>
      </c>
      <c r="D197" s="3" t="s">
        <v>86</v>
      </c>
      <c r="G197" s="3">
        <v>2000</v>
      </c>
      <c r="P197" s="3">
        <v>1184</v>
      </c>
      <c r="S197" s="3" t="s">
        <v>118</v>
      </c>
      <c r="T197" s="2">
        <v>1000000</v>
      </c>
      <c r="X197" s="3" t="s">
        <v>60</v>
      </c>
      <c r="Y197" s="3" t="s">
        <v>19</v>
      </c>
      <c r="Z197" s="2">
        <f t="shared" si="13"/>
        <v>1</v>
      </c>
      <c r="AA197" s="2">
        <f t="shared" si="14"/>
        <v>1</v>
      </c>
      <c r="AB197" s="2">
        <v>166</v>
      </c>
    </row>
    <row r="198" spans="1:28" x14ac:dyDescent="0.75">
      <c r="A198" s="3">
        <v>1</v>
      </c>
      <c r="B198" s="2">
        <f t="shared" si="12"/>
        <v>9</v>
      </c>
      <c r="C198" s="3">
        <v>36</v>
      </c>
      <c r="D198" s="3" t="s">
        <v>86</v>
      </c>
      <c r="G198" s="3">
        <v>2000</v>
      </c>
      <c r="P198" s="3">
        <v>1185</v>
      </c>
      <c r="S198" s="3" t="s">
        <v>118</v>
      </c>
      <c r="T198" s="2">
        <v>1000000</v>
      </c>
      <c r="X198" s="3" t="s">
        <v>60</v>
      </c>
      <c r="Y198" s="3" t="s">
        <v>19</v>
      </c>
      <c r="Z198" s="2">
        <f t="shared" si="13"/>
        <v>1</v>
      </c>
      <c r="AA198" s="2">
        <f t="shared" si="14"/>
        <v>1</v>
      </c>
      <c r="AB198" s="2">
        <v>167</v>
      </c>
    </row>
    <row r="199" spans="1:28" x14ac:dyDescent="0.75">
      <c r="A199" s="3">
        <v>1</v>
      </c>
      <c r="B199" s="2">
        <f t="shared" si="12"/>
        <v>9</v>
      </c>
      <c r="C199" s="3">
        <v>37</v>
      </c>
      <c r="D199" s="3" t="s">
        <v>86</v>
      </c>
      <c r="G199" s="3">
        <v>2000</v>
      </c>
      <c r="P199" s="3">
        <v>1186</v>
      </c>
      <c r="S199" s="3" t="s">
        <v>118</v>
      </c>
      <c r="T199" s="2">
        <v>1000000</v>
      </c>
      <c r="X199" s="3" t="s">
        <v>60</v>
      </c>
      <c r="Y199" s="3" t="s">
        <v>19</v>
      </c>
      <c r="Z199" s="2">
        <f t="shared" si="13"/>
        <v>1</v>
      </c>
      <c r="AA199" s="2">
        <f t="shared" si="14"/>
        <v>1</v>
      </c>
      <c r="AB199" s="2">
        <v>168</v>
      </c>
    </row>
    <row r="200" spans="1:28" x14ac:dyDescent="0.75">
      <c r="A200" s="3">
        <v>1</v>
      </c>
      <c r="B200" s="2">
        <f t="shared" si="12"/>
        <v>9</v>
      </c>
      <c r="C200" s="3">
        <v>38</v>
      </c>
      <c r="D200" s="3" t="s">
        <v>86</v>
      </c>
      <c r="G200" s="3">
        <v>2000</v>
      </c>
      <c r="P200" s="3">
        <v>1187</v>
      </c>
      <c r="S200" s="3" t="s">
        <v>118</v>
      </c>
      <c r="T200" s="2">
        <v>1000000</v>
      </c>
      <c r="X200" s="3" t="s">
        <v>60</v>
      </c>
      <c r="Y200" s="3" t="s">
        <v>19</v>
      </c>
      <c r="Z200" s="2">
        <f t="shared" si="13"/>
        <v>1</v>
      </c>
      <c r="AA200" s="2">
        <f t="shared" si="14"/>
        <v>1</v>
      </c>
      <c r="AB200" s="2">
        <v>169</v>
      </c>
    </row>
    <row r="201" spans="1:28" x14ac:dyDescent="0.75">
      <c r="A201" s="3">
        <v>1</v>
      </c>
      <c r="B201" s="2">
        <f t="shared" si="12"/>
        <v>9</v>
      </c>
      <c r="C201" s="3">
        <v>39</v>
      </c>
      <c r="D201" s="3" t="s">
        <v>86</v>
      </c>
      <c r="G201" s="3">
        <v>2000</v>
      </c>
      <c r="P201" s="3">
        <v>1188</v>
      </c>
      <c r="S201" s="3" t="s">
        <v>118</v>
      </c>
      <c r="T201" s="2">
        <v>1000000</v>
      </c>
      <c r="X201" s="3" t="s">
        <v>60</v>
      </c>
      <c r="Y201" s="3" t="s">
        <v>19</v>
      </c>
      <c r="Z201" s="2">
        <f t="shared" si="13"/>
        <v>1</v>
      </c>
      <c r="AA201" s="2">
        <f t="shared" si="14"/>
        <v>1</v>
      </c>
      <c r="AB201" s="2">
        <v>170</v>
      </c>
    </row>
    <row r="202" spans="1:28" x14ac:dyDescent="0.75">
      <c r="A202" s="3">
        <v>1</v>
      </c>
      <c r="B202" s="2">
        <f t="shared" si="12"/>
        <v>9</v>
      </c>
      <c r="C202" s="3">
        <v>40</v>
      </c>
      <c r="D202" s="3" t="s">
        <v>86</v>
      </c>
      <c r="G202" s="3">
        <v>2000</v>
      </c>
      <c r="P202" s="3">
        <v>1189</v>
      </c>
      <c r="S202" s="3" t="s">
        <v>118</v>
      </c>
      <c r="T202" s="2">
        <v>1000000</v>
      </c>
      <c r="X202" s="3" t="s">
        <v>60</v>
      </c>
      <c r="Y202" s="3" t="s">
        <v>19</v>
      </c>
      <c r="Z202" s="2">
        <f t="shared" si="13"/>
        <v>1</v>
      </c>
      <c r="AA202" s="2">
        <f t="shared" si="14"/>
        <v>1</v>
      </c>
      <c r="AB202" s="2">
        <v>171</v>
      </c>
    </row>
    <row r="203" spans="1:28" x14ac:dyDescent="0.75">
      <c r="A203" s="3">
        <v>1</v>
      </c>
      <c r="B203" s="2">
        <f t="shared" si="12"/>
        <v>9</v>
      </c>
      <c r="C203" s="3">
        <v>41</v>
      </c>
      <c r="D203" s="3" t="s">
        <v>86</v>
      </c>
      <c r="G203" s="3">
        <v>2000</v>
      </c>
      <c r="P203" s="3">
        <v>1190</v>
      </c>
      <c r="S203" s="3" t="s">
        <v>118</v>
      </c>
      <c r="T203" s="2">
        <v>1000000</v>
      </c>
      <c r="X203" s="3" t="s">
        <v>60</v>
      </c>
      <c r="Y203" s="3" t="s">
        <v>19</v>
      </c>
      <c r="Z203" s="2">
        <f t="shared" si="13"/>
        <v>1</v>
      </c>
      <c r="AA203" s="2">
        <f t="shared" si="14"/>
        <v>1</v>
      </c>
      <c r="AB203" s="2">
        <v>172</v>
      </c>
    </row>
    <row r="204" spans="1:28" x14ac:dyDescent="0.75">
      <c r="A204" s="3">
        <v>1</v>
      </c>
      <c r="B204" s="2">
        <f t="shared" si="12"/>
        <v>9</v>
      </c>
      <c r="C204" s="3">
        <v>42</v>
      </c>
      <c r="D204" s="3" t="s">
        <v>86</v>
      </c>
      <c r="G204" s="3">
        <v>2000</v>
      </c>
      <c r="P204" s="3">
        <v>1191</v>
      </c>
      <c r="S204" s="3" t="s">
        <v>118</v>
      </c>
      <c r="T204" s="2">
        <v>1000000</v>
      </c>
      <c r="X204" s="3" t="s">
        <v>60</v>
      </c>
      <c r="Y204" s="3" t="s">
        <v>19</v>
      </c>
      <c r="Z204" s="2">
        <f t="shared" si="13"/>
        <v>1</v>
      </c>
      <c r="AA204" s="2">
        <f t="shared" si="14"/>
        <v>1</v>
      </c>
      <c r="AB204" s="2">
        <v>173</v>
      </c>
    </row>
    <row r="205" spans="1:28" x14ac:dyDescent="0.75">
      <c r="A205" s="3">
        <v>1</v>
      </c>
      <c r="B205" s="2">
        <f t="shared" si="12"/>
        <v>9</v>
      </c>
      <c r="C205" s="3">
        <v>43</v>
      </c>
      <c r="D205" s="3" t="s">
        <v>86</v>
      </c>
      <c r="G205" s="3">
        <v>2000</v>
      </c>
      <c r="P205" s="3">
        <v>1192</v>
      </c>
      <c r="S205" s="3" t="s">
        <v>118</v>
      </c>
      <c r="T205" s="2">
        <v>1000000</v>
      </c>
      <c r="X205" s="3" t="s">
        <v>60</v>
      </c>
      <c r="Y205" s="3" t="s">
        <v>19</v>
      </c>
      <c r="Z205" s="2">
        <f t="shared" si="13"/>
        <v>1</v>
      </c>
      <c r="AA205" s="2">
        <f t="shared" si="14"/>
        <v>1</v>
      </c>
      <c r="AB205" s="2">
        <v>174</v>
      </c>
    </row>
    <row r="206" spans="1:28" x14ac:dyDescent="0.75">
      <c r="A206" s="3">
        <v>1</v>
      </c>
      <c r="B206" s="2">
        <f t="shared" si="12"/>
        <v>9</v>
      </c>
      <c r="C206" s="3">
        <v>44</v>
      </c>
      <c r="D206" s="3" t="s">
        <v>86</v>
      </c>
      <c r="G206" s="3">
        <v>2000</v>
      </c>
      <c r="P206" s="3">
        <v>1193</v>
      </c>
      <c r="S206" s="3" t="s">
        <v>118</v>
      </c>
      <c r="T206" s="2">
        <v>1000000</v>
      </c>
      <c r="X206" s="3" t="s">
        <v>60</v>
      </c>
      <c r="Y206" s="3" t="s">
        <v>19</v>
      </c>
      <c r="Z206" s="2">
        <f t="shared" si="13"/>
        <v>1</v>
      </c>
      <c r="AA206" s="2">
        <f t="shared" si="14"/>
        <v>1</v>
      </c>
      <c r="AB206" s="2">
        <v>175</v>
      </c>
    </row>
    <row r="207" spans="1:28" x14ac:dyDescent="0.75">
      <c r="A207" s="3">
        <v>1</v>
      </c>
      <c r="B207" s="2">
        <f t="shared" si="12"/>
        <v>9</v>
      </c>
      <c r="C207" s="3">
        <v>45</v>
      </c>
      <c r="D207" s="3" t="s">
        <v>86</v>
      </c>
      <c r="G207" s="3">
        <v>2000</v>
      </c>
      <c r="P207" s="3">
        <v>1194</v>
      </c>
      <c r="S207" s="3" t="s">
        <v>118</v>
      </c>
      <c r="T207" s="2">
        <v>1000000</v>
      </c>
      <c r="X207" s="3" t="s">
        <v>60</v>
      </c>
      <c r="Y207" s="3" t="s">
        <v>19</v>
      </c>
      <c r="Z207" s="2">
        <f t="shared" si="13"/>
        <v>1</v>
      </c>
      <c r="AA207" s="2">
        <f t="shared" si="14"/>
        <v>1</v>
      </c>
      <c r="AB207" s="2">
        <v>176</v>
      </c>
    </row>
    <row r="208" spans="1:28" x14ac:dyDescent="0.75">
      <c r="A208" s="3">
        <v>1</v>
      </c>
      <c r="B208" s="2">
        <f t="shared" si="12"/>
        <v>9</v>
      </c>
      <c r="C208" s="3">
        <v>46</v>
      </c>
      <c r="D208" s="3" t="s">
        <v>86</v>
      </c>
      <c r="G208" s="3">
        <v>2000</v>
      </c>
      <c r="P208" s="3">
        <v>1195</v>
      </c>
      <c r="S208" s="3" t="s">
        <v>118</v>
      </c>
      <c r="T208" s="2">
        <v>1000000</v>
      </c>
      <c r="X208" s="3" t="s">
        <v>60</v>
      </c>
      <c r="Y208" s="3" t="s">
        <v>19</v>
      </c>
      <c r="Z208" s="2">
        <f t="shared" si="13"/>
        <v>1</v>
      </c>
      <c r="AA208" s="2">
        <f t="shared" si="14"/>
        <v>1</v>
      </c>
      <c r="AB208" s="2">
        <v>177</v>
      </c>
    </row>
    <row r="209" spans="1:28" x14ac:dyDescent="0.75">
      <c r="A209" s="3">
        <v>1</v>
      </c>
      <c r="B209" s="2">
        <f t="shared" si="12"/>
        <v>9</v>
      </c>
      <c r="C209" s="3">
        <v>47</v>
      </c>
      <c r="D209" s="3" t="s">
        <v>86</v>
      </c>
      <c r="G209" s="3">
        <v>2000</v>
      </c>
      <c r="P209" s="3">
        <v>1196</v>
      </c>
      <c r="S209" s="3" t="s">
        <v>118</v>
      </c>
      <c r="T209" s="2">
        <v>1000000</v>
      </c>
      <c r="X209" s="3" t="s">
        <v>60</v>
      </c>
      <c r="Y209" s="3" t="s">
        <v>19</v>
      </c>
      <c r="Z209" s="2">
        <f t="shared" si="13"/>
        <v>1</v>
      </c>
      <c r="AA209" s="2">
        <f t="shared" si="14"/>
        <v>1</v>
      </c>
      <c r="AB209" s="2">
        <v>178</v>
      </c>
    </row>
    <row r="210" spans="1:28" x14ac:dyDescent="0.75">
      <c r="A210" s="3">
        <v>1</v>
      </c>
      <c r="B210" s="2">
        <f t="shared" si="12"/>
        <v>9</v>
      </c>
      <c r="C210" s="3">
        <v>48</v>
      </c>
      <c r="D210" s="3" t="s">
        <v>86</v>
      </c>
      <c r="G210" s="3">
        <v>2000</v>
      </c>
      <c r="P210" s="3">
        <v>1197</v>
      </c>
      <c r="S210" s="3" t="s">
        <v>118</v>
      </c>
      <c r="T210" s="2">
        <v>1000000</v>
      </c>
      <c r="X210" s="3" t="s">
        <v>60</v>
      </c>
      <c r="Y210" s="3" t="s">
        <v>19</v>
      </c>
      <c r="Z210" s="2">
        <f t="shared" si="13"/>
        <v>1</v>
      </c>
      <c r="AA210" s="2">
        <f t="shared" si="14"/>
        <v>1</v>
      </c>
      <c r="AB210" s="2">
        <v>179</v>
      </c>
    </row>
    <row r="211" spans="1:28" x14ac:dyDescent="0.75">
      <c r="A211" s="3">
        <v>1</v>
      </c>
      <c r="B211" s="2">
        <f t="shared" si="12"/>
        <v>9</v>
      </c>
      <c r="C211" s="3">
        <v>49</v>
      </c>
      <c r="D211" s="3" t="s">
        <v>86</v>
      </c>
      <c r="G211" s="3">
        <v>2000</v>
      </c>
      <c r="P211" s="3">
        <v>1198</v>
      </c>
      <c r="S211" s="3" t="s">
        <v>118</v>
      </c>
      <c r="T211" s="2">
        <v>1000000</v>
      </c>
      <c r="X211" s="3" t="s">
        <v>60</v>
      </c>
      <c r="Y211" s="3" t="s">
        <v>19</v>
      </c>
      <c r="Z211" s="2">
        <f t="shared" si="13"/>
        <v>1</v>
      </c>
      <c r="AA211" s="2">
        <f t="shared" si="14"/>
        <v>1</v>
      </c>
      <c r="AB211" s="2">
        <v>180</v>
      </c>
    </row>
    <row r="212" spans="1:28" x14ac:dyDescent="0.75">
      <c r="A212" s="3">
        <v>1</v>
      </c>
      <c r="B212" s="2">
        <f t="shared" si="12"/>
        <v>9</v>
      </c>
      <c r="C212" s="3">
        <v>50</v>
      </c>
      <c r="D212" s="3" t="s">
        <v>86</v>
      </c>
      <c r="G212" s="3">
        <v>2000</v>
      </c>
      <c r="P212" s="3">
        <v>1199</v>
      </c>
      <c r="S212" s="3" t="s">
        <v>118</v>
      </c>
      <c r="T212" s="2">
        <v>1000000</v>
      </c>
      <c r="X212" s="3" t="s">
        <v>60</v>
      </c>
      <c r="Y212" s="3" t="s">
        <v>19</v>
      </c>
      <c r="Z212" s="2">
        <f t="shared" si="13"/>
        <v>1</v>
      </c>
      <c r="AA212" s="2">
        <f t="shared" si="14"/>
        <v>1</v>
      </c>
      <c r="AB212" s="2">
        <v>181</v>
      </c>
    </row>
    <row r="213" spans="1:28" x14ac:dyDescent="0.75">
      <c r="A213" s="3">
        <v>1</v>
      </c>
      <c r="B213" s="2">
        <f t="shared" si="12"/>
        <v>10</v>
      </c>
      <c r="C213" s="3">
        <v>1</v>
      </c>
      <c r="D213" s="3" t="s">
        <v>86</v>
      </c>
      <c r="G213" s="3">
        <v>2000</v>
      </c>
      <c r="P213" s="3">
        <v>1200</v>
      </c>
      <c r="S213" s="3" t="s">
        <v>118</v>
      </c>
      <c r="T213" s="2">
        <v>1000000</v>
      </c>
      <c r="X213" s="3" t="s">
        <v>60</v>
      </c>
      <c r="Y213" s="3" t="s">
        <v>19</v>
      </c>
      <c r="Z213" s="2">
        <f t="shared" si="13"/>
        <v>1</v>
      </c>
      <c r="AA213" s="2">
        <f t="shared" si="14"/>
        <v>1</v>
      </c>
      <c r="AB213" s="2">
        <v>182</v>
      </c>
    </row>
    <row r="214" spans="1:28" x14ac:dyDescent="0.75">
      <c r="A214" s="3">
        <v>1</v>
      </c>
      <c r="B214" s="2">
        <f t="shared" si="12"/>
        <v>10</v>
      </c>
      <c r="C214" s="3">
        <v>2</v>
      </c>
      <c r="D214" s="3" t="s">
        <v>86</v>
      </c>
      <c r="G214" s="3">
        <v>2000</v>
      </c>
      <c r="P214" s="3">
        <v>1201</v>
      </c>
      <c r="S214" s="3" t="s">
        <v>118</v>
      </c>
      <c r="T214" s="2">
        <v>1000000</v>
      </c>
      <c r="X214" s="3" t="s">
        <v>60</v>
      </c>
      <c r="Y214" s="3" t="s">
        <v>19</v>
      </c>
      <c r="Z214" s="2">
        <f t="shared" si="13"/>
        <v>1</v>
      </c>
      <c r="AA214" s="2">
        <f t="shared" si="14"/>
        <v>1</v>
      </c>
      <c r="AB214" s="2">
        <v>183</v>
      </c>
    </row>
    <row r="215" spans="1:28" x14ac:dyDescent="0.75">
      <c r="A215" s="3">
        <v>1</v>
      </c>
      <c r="B215" s="2">
        <f t="shared" ref="B215:B278" si="15">IF(C215=1,B214+1,B214)</f>
        <v>10</v>
      </c>
      <c r="C215" s="3">
        <v>3</v>
      </c>
      <c r="D215" s="3" t="s">
        <v>86</v>
      </c>
      <c r="G215" s="3">
        <v>2000</v>
      </c>
      <c r="P215" s="3">
        <v>1202</v>
      </c>
      <c r="S215" s="3" t="s">
        <v>118</v>
      </c>
      <c r="T215" s="2">
        <v>1000000</v>
      </c>
      <c r="X215" s="3" t="s">
        <v>60</v>
      </c>
      <c r="Y215" s="3" t="s">
        <v>19</v>
      </c>
      <c r="Z215" s="2">
        <f t="shared" si="13"/>
        <v>1</v>
      </c>
      <c r="AA215" s="2">
        <f t="shared" si="14"/>
        <v>1</v>
      </c>
      <c r="AB215" s="2">
        <v>184</v>
      </c>
    </row>
    <row r="216" spans="1:28" x14ac:dyDescent="0.75">
      <c r="A216" s="3">
        <v>1</v>
      </c>
      <c r="B216" s="2">
        <f t="shared" si="15"/>
        <v>10</v>
      </c>
      <c r="C216" s="3">
        <v>4</v>
      </c>
      <c r="D216" s="3" t="s">
        <v>86</v>
      </c>
      <c r="G216" s="3">
        <v>2000</v>
      </c>
      <c r="P216" s="3">
        <v>1203</v>
      </c>
      <c r="S216" s="3" t="s">
        <v>118</v>
      </c>
      <c r="T216" s="2">
        <v>1000000</v>
      </c>
      <c r="X216" s="3" t="s">
        <v>60</v>
      </c>
      <c r="Y216" s="3" t="s">
        <v>19</v>
      </c>
      <c r="Z216" s="2">
        <f t="shared" si="13"/>
        <v>1</v>
      </c>
      <c r="AA216" s="2">
        <f t="shared" si="14"/>
        <v>1</v>
      </c>
      <c r="AB216" s="2">
        <v>185</v>
      </c>
    </row>
    <row r="217" spans="1:28" x14ac:dyDescent="0.75">
      <c r="A217" s="3">
        <v>1</v>
      </c>
      <c r="B217" s="2">
        <f t="shared" si="15"/>
        <v>10</v>
      </c>
      <c r="C217" s="3">
        <v>5</v>
      </c>
      <c r="D217" s="3" t="s">
        <v>86</v>
      </c>
      <c r="G217" s="3">
        <v>2000</v>
      </c>
      <c r="P217" s="3">
        <v>1204</v>
      </c>
      <c r="S217" s="3" t="s">
        <v>118</v>
      </c>
      <c r="T217" s="2">
        <v>1000000</v>
      </c>
      <c r="X217" s="3" t="s">
        <v>60</v>
      </c>
      <c r="Y217" s="3" t="s">
        <v>19</v>
      </c>
      <c r="Z217" s="2">
        <f t="shared" si="13"/>
        <v>1</v>
      </c>
      <c r="AA217" s="2">
        <f t="shared" si="14"/>
        <v>1</v>
      </c>
      <c r="AB217" s="2">
        <v>186</v>
      </c>
    </row>
    <row r="218" spans="1:28" x14ac:dyDescent="0.75">
      <c r="A218" s="3">
        <v>1</v>
      </c>
      <c r="B218" s="2">
        <f t="shared" si="15"/>
        <v>10</v>
      </c>
      <c r="C218" s="3">
        <v>6</v>
      </c>
      <c r="D218" s="3" t="s">
        <v>86</v>
      </c>
      <c r="G218" s="3">
        <v>2000</v>
      </c>
      <c r="P218" s="3">
        <v>1205</v>
      </c>
      <c r="S218" s="3" t="s">
        <v>118</v>
      </c>
      <c r="T218" s="2">
        <v>1000000</v>
      </c>
      <c r="X218" s="3" t="s">
        <v>60</v>
      </c>
      <c r="Y218" s="3" t="s">
        <v>19</v>
      </c>
      <c r="Z218" s="2">
        <f t="shared" si="13"/>
        <v>1</v>
      </c>
      <c r="AA218" s="2">
        <f t="shared" si="14"/>
        <v>1</v>
      </c>
      <c r="AB218" s="2">
        <v>187</v>
      </c>
    </row>
    <row r="219" spans="1:28" x14ac:dyDescent="0.75">
      <c r="A219" s="3">
        <v>1</v>
      </c>
      <c r="B219" s="2">
        <f t="shared" si="15"/>
        <v>10</v>
      </c>
      <c r="C219" s="3">
        <v>7</v>
      </c>
      <c r="D219" s="3" t="s">
        <v>86</v>
      </c>
      <c r="G219" s="3">
        <v>2000</v>
      </c>
      <c r="P219" s="3">
        <v>1206</v>
      </c>
      <c r="S219" s="3" t="s">
        <v>118</v>
      </c>
      <c r="T219" s="2">
        <v>1000000</v>
      </c>
      <c r="X219" s="3" t="s">
        <v>60</v>
      </c>
      <c r="Y219" s="3" t="s">
        <v>19</v>
      </c>
      <c r="Z219" s="2">
        <f t="shared" si="13"/>
        <v>1</v>
      </c>
      <c r="AA219" s="2">
        <f t="shared" si="14"/>
        <v>1</v>
      </c>
      <c r="AB219" s="2">
        <v>188</v>
      </c>
    </row>
    <row r="220" spans="1:28" x14ac:dyDescent="0.75">
      <c r="A220" s="3">
        <v>1</v>
      </c>
      <c r="B220" s="2">
        <f t="shared" si="15"/>
        <v>10</v>
      </c>
      <c r="C220" s="3">
        <v>8</v>
      </c>
      <c r="D220" s="3" t="s">
        <v>86</v>
      </c>
      <c r="G220" s="3">
        <v>2000</v>
      </c>
      <c r="P220" s="3">
        <v>1207</v>
      </c>
      <c r="S220" s="3" t="s">
        <v>118</v>
      </c>
      <c r="T220" s="2">
        <v>1000000</v>
      </c>
      <c r="X220" s="3" t="s">
        <v>60</v>
      </c>
      <c r="Y220" s="3" t="s">
        <v>19</v>
      </c>
      <c r="Z220" s="2">
        <f t="shared" si="13"/>
        <v>1</v>
      </c>
      <c r="AA220" s="2">
        <f t="shared" si="14"/>
        <v>1</v>
      </c>
      <c r="AB220" s="2">
        <v>189</v>
      </c>
    </row>
    <row r="221" spans="1:28" x14ac:dyDescent="0.75">
      <c r="A221" s="3">
        <v>1</v>
      </c>
      <c r="B221" s="2">
        <f t="shared" si="15"/>
        <v>10</v>
      </c>
      <c r="C221" s="3">
        <v>9</v>
      </c>
      <c r="D221" s="3" t="s">
        <v>86</v>
      </c>
      <c r="G221" s="3">
        <v>2000</v>
      </c>
      <c r="P221" s="3">
        <v>1208</v>
      </c>
      <c r="S221" s="3" t="s">
        <v>118</v>
      </c>
      <c r="T221" s="2">
        <v>1000000</v>
      </c>
      <c r="X221" s="3" t="s">
        <v>60</v>
      </c>
      <c r="Y221" s="3" t="s">
        <v>19</v>
      </c>
      <c r="Z221" s="2">
        <f t="shared" si="13"/>
        <v>1</v>
      </c>
      <c r="AA221" s="2">
        <f t="shared" si="14"/>
        <v>1</v>
      </c>
      <c r="AB221" s="2">
        <v>190</v>
      </c>
    </row>
    <row r="222" spans="1:28" x14ac:dyDescent="0.75">
      <c r="A222" s="3">
        <v>1</v>
      </c>
      <c r="B222" s="2">
        <f t="shared" si="15"/>
        <v>10</v>
      </c>
      <c r="C222" s="3">
        <v>10</v>
      </c>
      <c r="D222" s="3" t="s">
        <v>86</v>
      </c>
      <c r="G222" s="3">
        <v>2000</v>
      </c>
      <c r="P222" s="3">
        <v>1209</v>
      </c>
      <c r="S222" s="3" t="s">
        <v>118</v>
      </c>
      <c r="T222" s="2">
        <v>1000000</v>
      </c>
      <c r="X222" s="3" t="s">
        <v>60</v>
      </c>
      <c r="Y222" s="3" t="s">
        <v>19</v>
      </c>
      <c r="Z222" s="2">
        <f t="shared" si="13"/>
        <v>1</v>
      </c>
      <c r="AA222" s="2">
        <f t="shared" si="14"/>
        <v>1</v>
      </c>
      <c r="AB222" s="2">
        <v>191</v>
      </c>
    </row>
    <row r="223" spans="1:28" x14ac:dyDescent="0.75">
      <c r="A223" s="3">
        <v>1</v>
      </c>
      <c r="B223" s="2">
        <f t="shared" si="15"/>
        <v>10</v>
      </c>
      <c r="C223" s="3">
        <v>11</v>
      </c>
      <c r="D223" s="3" t="s">
        <v>86</v>
      </c>
      <c r="G223" s="3">
        <v>2000</v>
      </c>
      <c r="P223" s="3">
        <v>1210</v>
      </c>
      <c r="S223" s="3" t="s">
        <v>118</v>
      </c>
      <c r="T223" s="2">
        <v>1000000</v>
      </c>
      <c r="X223" s="3" t="s">
        <v>60</v>
      </c>
      <c r="Y223" s="3" t="s">
        <v>19</v>
      </c>
      <c r="Z223" s="2">
        <f t="shared" si="13"/>
        <v>1</v>
      </c>
      <c r="AA223" s="2">
        <f t="shared" si="14"/>
        <v>1</v>
      </c>
      <c r="AB223" s="2">
        <v>192</v>
      </c>
    </row>
    <row r="224" spans="1:28" x14ac:dyDescent="0.75">
      <c r="A224" s="3">
        <v>1</v>
      </c>
      <c r="B224" s="2">
        <f t="shared" si="15"/>
        <v>10</v>
      </c>
      <c r="C224" s="3">
        <v>12</v>
      </c>
      <c r="D224" s="3" t="s">
        <v>86</v>
      </c>
      <c r="G224" s="3">
        <v>2000</v>
      </c>
      <c r="P224" s="3">
        <v>1211</v>
      </c>
      <c r="S224" s="3" t="s">
        <v>118</v>
      </c>
      <c r="T224" s="2">
        <v>1000000</v>
      </c>
      <c r="X224" s="3" t="s">
        <v>60</v>
      </c>
      <c r="Y224" s="3" t="s">
        <v>19</v>
      </c>
      <c r="Z224" s="2">
        <f t="shared" si="13"/>
        <v>1</v>
      </c>
      <c r="AA224" s="2">
        <f t="shared" si="14"/>
        <v>1</v>
      </c>
      <c r="AB224" s="2">
        <v>193</v>
      </c>
    </row>
    <row r="225" spans="1:28" x14ac:dyDescent="0.75">
      <c r="A225" s="3">
        <v>1</v>
      </c>
      <c r="B225" s="2">
        <f t="shared" si="15"/>
        <v>10</v>
      </c>
      <c r="C225" s="3">
        <v>13</v>
      </c>
      <c r="D225" s="3" t="s">
        <v>86</v>
      </c>
      <c r="G225" s="3">
        <v>2000</v>
      </c>
      <c r="P225" s="3">
        <v>1212</v>
      </c>
      <c r="S225" s="3" t="s">
        <v>118</v>
      </c>
      <c r="T225" s="2">
        <v>1000000</v>
      </c>
      <c r="X225" s="3" t="s">
        <v>60</v>
      </c>
      <c r="Y225" s="3" t="s">
        <v>19</v>
      </c>
      <c r="Z225" s="2">
        <f t="shared" si="13"/>
        <v>1</v>
      </c>
      <c r="AA225" s="2">
        <f t="shared" si="14"/>
        <v>1</v>
      </c>
      <c r="AB225" s="2">
        <v>194</v>
      </c>
    </row>
    <row r="226" spans="1:28" x14ac:dyDescent="0.75">
      <c r="A226" s="3">
        <v>1</v>
      </c>
      <c r="B226" s="2">
        <f t="shared" si="15"/>
        <v>10</v>
      </c>
      <c r="C226" s="3">
        <v>14</v>
      </c>
      <c r="D226" s="3" t="s">
        <v>86</v>
      </c>
      <c r="G226" s="3">
        <v>2000</v>
      </c>
      <c r="P226" s="3">
        <v>1213</v>
      </c>
      <c r="S226" s="3" t="s">
        <v>118</v>
      </c>
      <c r="T226" s="2">
        <v>1000000</v>
      </c>
      <c r="X226" s="3" t="s">
        <v>60</v>
      </c>
      <c r="Y226" s="3" t="s">
        <v>19</v>
      </c>
      <c r="Z226" s="2">
        <f t="shared" si="13"/>
        <v>1</v>
      </c>
      <c r="AA226" s="2">
        <f t="shared" si="14"/>
        <v>1</v>
      </c>
      <c r="AB226" s="2">
        <v>195</v>
      </c>
    </row>
    <row r="227" spans="1:28" x14ac:dyDescent="0.75">
      <c r="A227" s="3">
        <v>1</v>
      </c>
      <c r="B227" s="2">
        <f t="shared" si="15"/>
        <v>10</v>
      </c>
      <c r="C227" s="3">
        <v>15</v>
      </c>
      <c r="D227" s="3" t="s">
        <v>86</v>
      </c>
      <c r="G227" s="3">
        <v>2000</v>
      </c>
      <c r="P227" s="3">
        <v>1214</v>
      </c>
      <c r="S227" s="3" t="s">
        <v>118</v>
      </c>
      <c r="T227" s="2">
        <v>1000000</v>
      </c>
      <c r="X227" s="3" t="s">
        <v>60</v>
      </c>
      <c r="Y227" s="3" t="s">
        <v>19</v>
      </c>
      <c r="Z227" s="2">
        <f t="shared" si="13"/>
        <v>1</v>
      </c>
      <c r="AA227" s="2">
        <f t="shared" si="14"/>
        <v>1</v>
      </c>
      <c r="AB227" s="2">
        <v>196</v>
      </c>
    </row>
    <row r="228" spans="1:28" x14ac:dyDescent="0.75">
      <c r="A228" s="3">
        <v>1</v>
      </c>
      <c r="B228" s="2">
        <f t="shared" si="15"/>
        <v>10</v>
      </c>
      <c r="C228" s="3">
        <v>16</v>
      </c>
      <c r="D228" s="3" t="s">
        <v>86</v>
      </c>
      <c r="G228" s="3">
        <v>2000</v>
      </c>
      <c r="P228" s="3">
        <v>1215</v>
      </c>
      <c r="S228" s="3" t="s">
        <v>118</v>
      </c>
      <c r="T228" s="2">
        <v>1000000</v>
      </c>
      <c r="X228" s="3" t="s">
        <v>60</v>
      </c>
      <c r="Y228" s="3" t="s">
        <v>19</v>
      </c>
      <c r="Z228" s="2">
        <f t="shared" si="13"/>
        <v>1</v>
      </c>
      <c r="AA228" s="2">
        <f t="shared" si="14"/>
        <v>1</v>
      </c>
      <c r="AB228" s="2">
        <v>197</v>
      </c>
    </row>
    <row r="229" spans="1:28" x14ac:dyDescent="0.75">
      <c r="A229" s="3">
        <v>1</v>
      </c>
      <c r="B229" s="2">
        <f t="shared" si="15"/>
        <v>10</v>
      </c>
      <c r="C229" s="3">
        <v>17</v>
      </c>
      <c r="D229" s="3" t="s">
        <v>86</v>
      </c>
      <c r="G229" s="3">
        <v>2000</v>
      </c>
      <c r="P229" s="3">
        <v>1216</v>
      </c>
      <c r="S229" s="3" t="s">
        <v>118</v>
      </c>
      <c r="T229" s="2">
        <v>1000000</v>
      </c>
      <c r="X229" s="3" t="s">
        <v>60</v>
      </c>
      <c r="Y229" s="3" t="s">
        <v>19</v>
      </c>
      <c r="Z229" s="2">
        <f t="shared" si="13"/>
        <v>1</v>
      </c>
      <c r="AA229" s="2">
        <f t="shared" si="14"/>
        <v>1</v>
      </c>
      <c r="AB229" s="2">
        <v>198</v>
      </c>
    </row>
    <row r="230" spans="1:28" x14ac:dyDescent="0.75">
      <c r="A230" s="3">
        <v>1</v>
      </c>
      <c r="B230" s="2">
        <f t="shared" si="15"/>
        <v>10</v>
      </c>
      <c r="C230" s="3">
        <v>18</v>
      </c>
      <c r="D230" s="3" t="s">
        <v>86</v>
      </c>
      <c r="G230" s="3">
        <v>2000</v>
      </c>
      <c r="P230" s="3">
        <v>1217</v>
      </c>
      <c r="S230" s="3" t="s">
        <v>118</v>
      </c>
      <c r="T230" s="2">
        <v>1000000</v>
      </c>
      <c r="X230" s="3" t="s">
        <v>60</v>
      </c>
      <c r="Y230" s="3" t="s">
        <v>19</v>
      </c>
      <c r="Z230" s="2">
        <f t="shared" si="13"/>
        <v>1</v>
      </c>
      <c r="AA230" s="2">
        <f t="shared" si="14"/>
        <v>1</v>
      </c>
      <c r="AB230" s="2">
        <v>199</v>
      </c>
    </row>
    <row r="231" spans="1:28" x14ac:dyDescent="0.75">
      <c r="A231" s="3">
        <v>1</v>
      </c>
      <c r="B231" s="2">
        <f t="shared" si="15"/>
        <v>10</v>
      </c>
      <c r="C231" s="3">
        <v>19</v>
      </c>
      <c r="D231" s="3" t="s">
        <v>86</v>
      </c>
      <c r="G231" s="3">
        <v>2000</v>
      </c>
      <c r="P231" s="3">
        <v>1218</v>
      </c>
      <c r="S231" s="3" t="s">
        <v>118</v>
      </c>
      <c r="T231" s="2">
        <v>1000000</v>
      </c>
      <c r="X231" s="3" t="s">
        <v>60</v>
      </c>
      <c r="Y231" s="3" t="s">
        <v>19</v>
      </c>
      <c r="Z231" s="2">
        <f t="shared" si="13"/>
        <v>1</v>
      </c>
      <c r="AA231" s="2">
        <f t="shared" si="14"/>
        <v>1</v>
      </c>
      <c r="AB231" s="2">
        <v>200</v>
      </c>
    </row>
    <row r="232" spans="1:28" x14ac:dyDescent="0.75">
      <c r="A232" s="3">
        <v>1</v>
      </c>
      <c r="B232" s="2">
        <f t="shared" si="15"/>
        <v>10</v>
      </c>
      <c r="C232" s="3">
        <v>20</v>
      </c>
      <c r="D232" s="3" t="s">
        <v>86</v>
      </c>
      <c r="G232" s="3">
        <v>2000</v>
      </c>
      <c r="P232" s="3">
        <v>1219</v>
      </c>
      <c r="S232" s="3" t="s">
        <v>118</v>
      </c>
      <c r="T232" s="2">
        <v>1000000</v>
      </c>
      <c r="X232" s="3" t="s">
        <v>60</v>
      </c>
      <c r="Y232" s="3" t="s">
        <v>19</v>
      </c>
      <c r="Z232" s="2">
        <f t="shared" si="13"/>
        <v>1</v>
      </c>
      <c r="AA232" s="2">
        <f t="shared" si="14"/>
        <v>1</v>
      </c>
      <c r="AB232" s="2">
        <v>201</v>
      </c>
    </row>
    <row r="233" spans="1:28" x14ac:dyDescent="0.75">
      <c r="A233" s="3">
        <v>1</v>
      </c>
      <c r="B233" s="2">
        <f t="shared" si="15"/>
        <v>10</v>
      </c>
      <c r="C233" s="3">
        <v>21</v>
      </c>
      <c r="D233" s="3" t="s">
        <v>86</v>
      </c>
      <c r="G233" s="3">
        <v>2000</v>
      </c>
      <c r="P233" s="3">
        <v>1220</v>
      </c>
      <c r="S233" s="3" t="s">
        <v>118</v>
      </c>
      <c r="T233" s="2">
        <v>1000000</v>
      </c>
      <c r="X233" s="3" t="s">
        <v>60</v>
      </c>
      <c r="Y233" s="3" t="s">
        <v>19</v>
      </c>
      <c r="Z233" s="2">
        <f t="shared" si="13"/>
        <v>1</v>
      </c>
      <c r="AA233" s="2">
        <f t="shared" si="14"/>
        <v>1</v>
      </c>
      <c r="AB233" s="2">
        <v>202</v>
      </c>
    </row>
    <row r="234" spans="1:28" x14ac:dyDescent="0.75">
      <c r="A234" s="3">
        <v>1</v>
      </c>
      <c r="B234" s="2">
        <f t="shared" si="15"/>
        <v>10</v>
      </c>
      <c r="C234" s="3">
        <v>22</v>
      </c>
      <c r="D234" s="3" t="s">
        <v>86</v>
      </c>
      <c r="G234" s="3">
        <v>2000</v>
      </c>
      <c r="P234" s="3">
        <v>1221</v>
      </c>
      <c r="S234" s="3" t="s">
        <v>118</v>
      </c>
      <c r="T234" s="2">
        <v>1000000</v>
      </c>
      <c r="X234" s="3" t="s">
        <v>60</v>
      </c>
      <c r="Y234" s="3" t="s">
        <v>19</v>
      </c>
      <c r="Z234" s="2">
        <f t="shared" si="13"/>
        <v>1</v>
      </c>
      <c r="AA234" s="2">
        <f t="shared" si="14"/>
        <v>1</v>
      </c>
      <c r="AB234" s="2">
        <v>203</v>
      </c>
    </row>
    <row r="235" spans="1:28" x14ac:dyDescent="0.75">
      <c r="A235" s="3">
        <v>1</v>
      </c>
      <c r="B235" s="2">
        <f t="shared" si="15"/>
        <v>10</v>
      </c>
      <c r="C235" s="3">
        <v>23</v>
      </c>
      <c r="D235" s="3" t="s">
        <v>86</v>
      </c>
      <c r="G235" s="3">
        <v>2000</v>
      </c>
      <c r="P235" s="3">
        <v>1222</v>
      </c>
      <c r="S235" s="3" t="s">
        <v>118</v>
      </c>
      <c r="T235" s="2">
        <v>1000000</v>
      </c>
      <c r="X235" s="3" t="s">
        <v>60</v>
      </c>
      <c r="Y235" s="3" t="s">
        <v>19</v>
      </c>
      <c r="Z235" s="2">
        <f t="shared" si="13"/>
        <v>1</v>
      </c>
      <c r="AA235" s="2">
        <f t="shared" si="14"/>
        <v>1</v>
      </c>
      <c r="AB235" s="2">
        <v>204</v>
      </c>
    </row>
    <row r="236" spans="1:28" x14ac:dyDescent="0.75">
      <c r="A236" s="3">
        <v>1</v>
      </c>
      <c r="B236" s="2">
        <f t="shared" si="15"/>
        <v>10</v>
      </c>
      <c r="C236" s="3">
        <v>24</v>
      </c>
      <c r="D236" s="3" t="s">
        <v>86</v>
      </c>
      <c r="G236" s="3">
        <v>2000</v>
      </c>
      <c r="P236" s="3">
        <v>1223</v>
      </c>
      <c r="S236" s="3" t="s">
        <v>118</v>
      </c>
      <c r="T236" s="2">
        <v>1000000</v>
      </c>
      <c r="X236" s="3" t="s">
        <v>60</v>
      </c>
      <c r="Y236" s="3" t="s">
        <v>19</v>
      </c>
      <c r="Z236" s="2">
        <f t="shared" si="13"/>
        <v>1</v>
      </c>
      <c r="AA236" s="2">
        <f t="shared" si="14"/>
        <v>1</v>
      </c>
      <c r="AB236" s="2">
        <v>205</v>
      </c>
    </row>
    <row r="237" spans="1:28" x14ac:dyDescent="0.75">
      <c r="A237" s="3">
        <v>1</v>
      </c>
      <c r="B237" s="2">
        <f t="shared" si="15"/>
        <v>10</v>
      </c>
      <c r="C237" s="3">
        <v>25</v>
      </c>
      <c r="D237" s="3" t="s">
        <v>86</v>
      </c>
      <c r="G237" s="3">
        <v>2000</v>
      </c>
      <c r="P237" s="3">
        <v>1224</v>
      </c>
      <c r="S237" s="3" t="s">
        <v>118</v>
      </c>
      <c r="T237" s="2">
        <v>1000000</v>
      </c>
      <c r="X237" s="3" t="s">
        <v>60</v>
      </c>
      <c r="Y237" s="3" t="s">
        <v>19</v>
      </c>
      <c r="Z237" s="2">
        <f t="shared" si="13"/>
        <v>1</v>
      </c>
      <c r="AA237" s="2">
        <f t="shared" si="14"/>
        <v>1</v>
      </c>
      <c r="AB237" s="2">
        <v>206</v>
      </c>
    </row>
    <row r="238" spans="1:28" x14ac:dyDescent="0.75">
      <c r="A238" s="3">
        <v>1</v>
      </c>
      <c r="B238" s="2">
        <f t="shared" si="15"/>
        <v>10</v>
      </c>
      <c r="C238" s="3">
        <v>26</v>
      </c>
      <c r="D238" s="3" t="s">
        <v>86</v>
      </c>
      <c r="G238" s="3">
        <v>2000</v>
      </c>
      <c r="P238" s="3">
        <v>1225</v>
      </c>
      <c r="S238" s="3" t="s">
        <v>118</v>
      </c>
      <c r="T238" s="2">
        <v>1000000</v>
      </c>
      <c r="X238" s="3" t="s">
        <v>60</v>
      </c>
      <c r="Y238" s="3" t="s">
        <v>19</v>
      </c>
      <c r="Z238" s="2">
        <f t="shared" si="13"/>
        <v>1</v>
      </c>
      <c r="AA238" s="2">
        <f t="shared" si="14"/>
        <v>1</v>
      </c>
      <c r="AB238" s="2">
        <v>207</v>
      </c>
    </row>
    <row r="239" spans="1:28" x14ac:dyDescent="0.75">
      <c r="A239" s="3">
        <v>1</v>
      </c>
      <c r="B239" s="2">
        <f t="shared" si="15"/>
        <v>10</v>
      </c>
      <c r="C239" s="3">
        <v>27</v>
      </c>
      <c r="D239" s="3" t="s">
        <v>86</v>
      </c>
      <c r="G239" s="3">
        <v>2000</v>
      </c>
      <c r="P239" s="3">
        <v>1226</v>
      </c>
      <c r="S239" s="3" t="s">
        <v>118</v>
      </c>
      <c r="T239" s="2">
        <v>1000000</v>
      </c>
      <c r="X239" s="3" t="s">
        <v>60</v>
      </c>
      <c r="Y239" s="3" t="s">
        <v>19</v>
      </c>
      <c r="Z239" s="2">
        <f t="shared" si="13"/>
        <v>1</v>
      </c>
      <c r="AA239" s="2">
        <f t="shared" si="14"/>
        <v>1</v>
      </c>
      <c r="AB239" s="2">
        <v>208</v>
      </c>
    </row>
    <row r="240" spans="1:28" x14ac:dyDescent="0.75">
      <c r="A240" s="3">
        <v>1</v>
      </c>
      <c r="B240" s="2">
        <f t="shared" si="15"/>
        <v>10</v>
      </c>
      <c r="C240" s="3">
        <v>28</v>
      </c>
      <c r="D240" s="3" t="s">
        <v>86</v>
      </c>
      <c r="G240" s="3">
        <v>2000</v>
      </c>
      <c r="P240" s="3">
        <v>1227</v>
      </c>
      <c r="S240" s="3" t="s">
        <v>118</v>
      </c>
      <c r="T240" s="2">
        <v>1000000</v>
      </c>
      <c r="X240" s="3" t="s">
        <v>60</v>
      </c>
      <c r="Y240" s="3" t="s">
        <v>19</v>
      </c>
      <c r="Z240" s="2">
        <f t="shared" si="13"/>
        <v>1</v>
      </c>
      <c r="AA240" s="2">
        <f t="shared" si="14"/>
        <v>1</v>
      </c>
      <c r="AB240" s="2">
        <v>209</v>
      </c>
    </row>
    <row r="241" spans="1:28" x14ac:dyDescent="0.75">
      <c r="A241" s="3">
        <v>1</v>
      </c>
      <c r="B241" s="2">
        <f t="shared" si="15"/>
        <v>10</v>
      </c>
      <c r="C241" s="3">
        <v>29</v>
      </c>
      <c r="D241" s="3" t="s">
        <v>86</v>
      </c>
      <c r="G241" s="3">
        <v>2000</v>
      </c>
      <c r="P241" s="3">
        <v>1228</v>
      </c>
      <c r="S241" s="3" t="s">
        <v>118</v>
      </c>
      <c r="T241" s="2">
        <v>1000000</v>
      </c>
      <c r="X241" s="3" t="s">
        <v>60</v>
      </c>
      <c r="Y241" s="3" t="s">
        <v>19</v>
      </c>
      <c r="Z241" s="2">
        <f t="shared" si="13"/>
        <v>1</v>
      </c>
      <c r="AA241" s="2">
        <f t="shared" si="14"/>
        <v>1</v>
      </c>
      <c r="AB241" s="2">
        <v>210</v>
      </c>
    </row>
    <row r="242" spans="1:28" x14ac:dyDescent="0.75">
      <c r="A242" s="3">
        <v>1</v>
      </c>
      <c r="B242" s="2">
        <f t="shared" si="15"/>
        <v>10</v>
      </c>
      <c r="C242" s="3">
        <v>30</v>
      </c>
      <c r="D242" s="3" t="s">
        <v>86</v>
      </c>
      <c r="G242" s="3">
        <v>2000</v>
      </c>
      <c r="P242" s="3">
        <v>1229</v>
      </c>
      <c r="S242" s="3" t="s">
        <v>118</v>
      </c>
      <c r="T242" s="2">
        <v>1000000</v>
      </c>
      <c r="X242" s="3" t="s">
        <v>60</v>
      </c>
      <c r="Y242" s="3" t="s">
        <v>19</v>
      </c>
      <c r="Z242" s="2">
        <f t="shared" si="13"/>
        <v>1</v>
      </c>
      <c r="AA242" s="2">
        <f t="shared" si="14"/>
        <v>1</v>
      </c>
      <c r="AB242" s="2">
        <v>211</v>
      </c>
    </row>
    <row r="243" spans="1:28" x14ac:dyDescent="0.75">
      <c r="A243" s="3">
        <v>1</v>
      </c>
      <c r="B243" s="2">
        <f t="shared" si="15"/>
        <v>10</v>
      </c>
      <c r="C243" s="3">
        <v>31</v>
      </c>
      <c r="D243" s="3" t="s">
        <v>86</v>
      </c>
      <c r="G243" s="3">
        <v>2000</v>
      </c>
      <c r="P243" s="3">
        <v>1230</v>
      </c>
      <c r="S243" s="3" t="s">
        <v>118</v>
      </c>
      <c r="T243" s="2">
        <v>1000000</v>
      </c>
      <c r="X243" s="3" t="s">
        <v>60</v>
      </c>
      <c r="Y243" s="3" t="s">
        <v>19</v>
      </c>
      <c r="Z243" s="2">
        <f t="shared" si="13"/>
        <v>1</v>
      </c>
      <c r="AA243" s="2">
        <f t="shared" si="14"/>
        <v>1</v>
      </c>
      <c r="AB243" s="2">
        <v>212</v>
      </c>
    </row>
    <row r="244" spans="1:28" x14ac:dyDescent="0.75">
      <c r="A244" s="3">
        <v>1</v>
      </c>
      <c r="B244" s="2">
        <f t="shared" si="15"/>
        <v>10</v>
      </c>
      <c r="C244" s="3">
        <v>32</v>
      </c>
      <c r="D244" s="3" t="s">
        <v>86</v>
      </c>
      <c r="G244" s="3">
        <v>2000</v>
      </c>
      <c r="P244" s="3">
        <v>1231</v>
      </c>
      <c r="S244" s="3" t="s">
        <v>118</v>
      </c>
      <c r="T244" s="2">
        <v>1000000</v>
      </c>
      <c r="X244" s="3" t="s">
        <v>60</v>
      </c>
      <c r="Y244" s="3" t="s">
        <v>19</v>
      </c>
      <c r="Z244" s="2">
        <f t="shared" si="13"/>
        <v>1</v>
      </c>
      <c r="AA244" s="2">
        <f t="shared" si="14"/>
        <v>1</v>
      </c>
      <c r="AB244" s="2">
        <v>213</v>
      </c>
    </row>
    <row r="245" spans="1:28" x14ac:dyDescent="0.75">
      <c r="A245" s="3">
        <v>1</v>
      </c>
      <c r="B245" s="2">
        <f t="shared" si="15"/>
        <v>10</v>
      </c>
      <c r="C245" s="3">
        <v>33</v>
      </c>
      <c r="D245" s="3" t="s">
        <v>86</v>
      </c>
      <c r="G245" s="3">
        <v>2000</v>
      </c>
      <c r="P245" s="3">
        <v>1232</v>
      </c>
      <c r="S245" s="3" t="s">
        <v>118</v>
      </c>
      <c r="T245" s="2">
        <v>1000000</v>
      </c>
      <c r="X245" s="3" t="s">
        <v>60</v>
      </c>
      <c r="Y245" s="3" t="s">
        <v>19</v>
      </c>
      <c r="Z245" s="2">
        <f t="shared" si="13"/>
        <v>1</v>
      </c>
      <c r="AA245" s="2">
        <f t="shared" si="14"/>
        <v>1</v>
      </c>
      <c r="AB245" s="2">
        <v>214</v>
      </c>
    </row>
    <row r="246" spans="1:28" x14ac:dyDescent="0.75">
      <c r="A246" s="3">
        <v>1</v>
      </c>
      <c r="B246" s="2">
        <f t="shared" si="15"/>
        <v>10</v>
      </c>
      <c r="C246" s="3">
        <v>34</v>
      </c>
      <c r="D246" s="3" t="s">
        <v>86</v>
      </c>
      <c r="G246" s="3">
        <v>2000</v>
      </c>
      <c r="P246" s="3">
        <v>1233</v>
      </c>
      <c r="S246" s="3" t="s">
        <v>118</v>
      </c>
      <c r="T246" s="2">
        <v>1000000</v>
      </c>
      <c r="X246" s="3" t="s">
        <v>60</v>
      </c>
      <c r="Y246" s="3" t="s">
        <v>19</v>
      </c>
      <c r="Z246" s="2">
        <f t="shared" si="13"/>
        <v>1</v>
      </c>
      <c r="AA246" s="2">
        <f t="shared" si="14"/>
        <v>1</v>
      </c>
      <c r="AB246" s="2">
        <v>215</v>
      </c>
    </row>
    <row r="247" spans="1:28" x14ac:dyDescent="0.75">
      <c r="A247" s="3">
        <v>1</v>
      </c>
      <c r="B247" s="2">
        <f t="shared" si="15"/>
        <v>10</v>
      </c>
      <c r="C247" s="3">
        <v>35</v>
      </c>
      <c r="D247" s="3" t="s">
        <v>86</v>
      </c>
      <c r="G247" s="3">
        <v>2000</v>
      </c>
      <c r="P247" s="3">
        <v>1234</v>
      </c>
      <c r="S247" s="3" t="s">
        <v>118</v>
      </c>
      <c r="T247" s="2">
        <v>1000000</v>
      </c>
      <c r="X247" s="3" t="s">
        <v>60</v>
      </c>
      <c r="Y247" s="3" t="s">
        <v>19</v>
      </c>
      <c r="Z247" s="2">
        <f t="shared" si="13"/>
        <v>1</v>
      </c>
      <c r="AA247" s="2">
        <f t="shared" si="14"/>
        <v>1</v>
      </c>
      <c r="AB247" s="2">
        <v>216</v>
      </c>
    </row>
    <row r="248" spans="1:28" x14ac:dyDescent="0.75">
      <c r="A248" s="3">
        <v>1</v>
      </c>
      <c r="B248" s="2">
        <f t="shared" si="15"/>
        <v>10</v>
      </c>
      <c r="C248" s="3">
        <v>36</v>
      </c>
      <c r="D248" s="3" t="s">
        <v>86</v>
      </c>
      <c r="G248" s="3">
        <v>2000</v>
      </c>
      <c r="P248" s="3">
        <v>1235</v>
      </c>
      <c r="S248" s="3" t="s">
        <v>118</v>
      </c>
      <c r="T248" s="2">
        <v>1000000</v>
      </c>
      <c r="X248" s="3" t="s">
        <v>60</v>
      </c>
      <c r="Y248" s="3" t="s">
        <v>19</v>
      </c>
      <c r="Z248" s="2">
        <f t="shared" ref="Z248:Z311" si="16">IF(T248&gt;0,1,0)+IF(U248&gt;0,1,0)+IF(V248&gt;0,1,0)+IF(W248&gt;0,1,0)</f>
        <v>1</v>
      </c>
      <c r="AA248" s="2">
        <f t="shared" ref="AA248:AA311" si="17">IF(Y248="OK",Z248,0)</f>
        <v>1</v>
      </c>
      <c r="AB248" s="2">
        <v>217</v>
      </c>
    </row>
    <row r="249" spans="1:28" x14ac:dyDescent="0.75">
      <c r="A249" s="3">
        <v>1</v>
      </c>
      <c r="B249" s="2">
        <f t="shared" si="15"/>
        <v>10</v>
      </c>
      <c r="C249" s="3">
        <v>37</v>
      </c>
      <c r="D249" s="3" t="s">
        <v>86</v>
      </c>
      <c r="G249" s="3">
        <v>2000</v>
      </c>
      <c r="P249" s="3">
        <v>1236</v>
      </c>
      <c r="S249" s="3" t="s">
        <v>118</v>
      </c>
      <c r="T249" s="2">
        <v>1000000</v>
      </c>
      <c r="X249" s="3" t="s">
        <v>60</v>
      </c>
      <c r="Y249" s="3" t="s">
        <v>19</v>
      </c>
      <c r="Z249" s="2">
        <f t="shared" si="16"/>
        <v>1</v>
      </c>
      <c r="AA249" s="2">
        <f t="shared" si="17"/>
        <v>1</v>
      </c>
      <c r="AB249" s="2">
        <v>218</v>
      </c>
    </row>
    <row r="250" spans="1:28" x14ac:dyDescent="0.75">
      <c r="A250" s="3">
        <v>1</v>
      </c>
      <c r="B250" s="2">
        <f t="shared" si="15"/>
        <v>10</v>
      </c>
      <c r="C250" s="3">
        <v>38</v>
      </c>
      <c r="D250" s="3" t="s">
        <v>86</v>
      </c>
      <c r="G250" s="3">
        <v>2000</v>
      </c>
      <c r="P250" s="3">
        <v>1237</v>
      </c>
      <c r="S250" s="3" t="s">
        <v>118</v>
      </c>
      <c r="T250" s="2">
        <v>1000000</v>
      </c>
      <c r="X250" s="3" t="s">
        <v>60</v>
      </c>
      <c r="Y250" s="3" t="s">
        <v>19</v>
      </c>
      <c r="Z250" s="2">
        <f t="shared" si="16"/>
        <v>1</v>
      </c>
      <c r="AA250" s="2">
        <f t="shared" si="17"/>
        <v>1</v>
      </c>
      <c r="AB250" s="2">
        <v>219</v>
      </c>
    </row>
    <row r="251" spans="1:28" x14ac:dyDescent="0.75">
      <c r="A251" s="3">
        <v>1</v>
      </c>
      <c r="B251" s="2">
        <f t="shared" si="15"/>
        <v>10</v>
      </c>
      <c r="C251" s="3">
        <v>39</v>
      </c>
      <c r="D251" s="3" t="s">
        <v>86</v>
      </c>
      <c r="G251" s="3">
        <v>2000</v>
      </c>
      <c r="P251" s="3">
        <v>1238</v>
      </c>
      <c r="S251" s="3" t="s">
        <v>118</v>
      </c>
      <c r="T251" s="2">
        <v>1000000</v>
      </c>
      <c r="X251" s="3" t="s">
        <v>60</v>
      </c>
      <c r="Y251" s="3" t="s">
        <v>19</v>
      </c>
      <c r="Z251" s="2">
        <f t="shared" si="16"/>
        <v>1</v>
      </c>
      <c r="AA251" s="2">
        <f t="shared" si="17"/>
        <v>1</v>
      </c>
      <c r="AB251" s="2">
        <v>220</v>
      </c>
    </row>
    <row r="252" spans="1:28" x14ac:dyDescent="0.75">
      <c r="A252" s="3">
        <v>1</v>
      </c>
      <c r="B252" s="2">
        <f t="shared" si="15"/>
        <v>10</v>
      </c>
      <c r="C252" s="3">
        <v>40</v>
      </c>
      <c r="D252" s="3" t="s">
        <v>86</v>
      </c>
      <c r="G252" s="3">
        <v>2000</v>
      </c>
      <c r="P252" s="3">
        <v>1239</v>
      </c>
      <c r="S252" s="3" t="s">
        <v>118</v>
      </c>
      <c r="T252" s="2">
        <v>1000000</v>
      </c>
      <c r="X252" s="3" t="s">
        <v>60</v>
      </c>
      <c r="Y252" s="3" t="s">
        <v>19</v>
      </c>
      <c r="Z252" s="2">
        <f t="shared" si="16"/>
        <v>1</v>
      </c>
      <c r="AA252" s="2">
        <f t="shared" si="17"/>
        <v>1</v>
      </c>
      <c r="AB252" s="2">
        <v>221</v>
      </c>
    </row>
    <row r="253" spans="1:28" x14ac:dyDescent="0.75">
      <c r="A253" s="3">
        <v>1</v>
      </c>
      <c r="B253" s="2">
        <f t="shared" si="15"/>
        <v>10</v>
      </c>
      <c r="C253" s="3">
        <v>41</v>
      </c>
      <c r="D253" s="3" t="s">
        <v>86</v>
      </c>
      <c r="G253" s="3">
        <v>2000</v>
      </c>
      <c r="P253" s="3">
        <v>1240</v>
      </c>
      <c r="S253" s="3" t="s">
        <v>118</v>
      </c>
      <c r="T253" s="2">
        <v>1000000</v>
      </c>
      <c r="X253" s="3" t="s">
        <v>60</v>
      </c>
      <c r="Y253" s="3" t="s">
        <v>19</v>
      </c>
      <c r="Z253" s="2">
        <f t="shared" si="16"/>
        <v>1</v>
      </c>
      <c r="AA253" s="2">
        <f t="shared" si="17"/>
        <v>1</v>
      </c>
      <c r="AB253" s="2">
        <v>222</v>
      </c>
    </row>
    <row r="254" spans="1:28" x14ac:dyDescent="0.75">
      <c r="A254" s="3">
        <v>1</v>
      </c>
      <c r="B254" s="2">
        <f t="shared" si="15"/>
        <v>10</v>
      </c>
      <c r="C254" s="3">
        <v>42</v>
      </c>
      <c r="D254" s="3" t="s">
        <v>86</v>
      </c>
      <c r="G254" s="3">
        <v>2000</v>
      </c>
      <c r="P254" s="3">
        <v>1241</v>
      </c>
      <c r="S254" s="3" t="s">
        <v>118</v>
      </c>
      <c r="T254" s="2">
        <v>1000000</v>
      </c>
      <c r="X254" s="3" t="s">
        <v>60</v>
      </c>
      <c r="Y254" s="3" t="s">
        <v>19</v>
      </c>
      <c r="Z254" s="2">
        <f t="shared" si="16"/>
        <v>1</v>
      </c>
      <c r="AA254" s="2">
        <f t="shared" si="17"/>
        <v>1</v>
      </c>
      <c r="AB254" s="2">
        <v>223</v>
      </c>
    </row>
    <row r="255" spans="1:28" x14ac:dyDescent="0.75">
      <c r="A255" s="3">
        <v>1</v>
      </c>
      <c r="B255" s="2">
        <f t="shared" si="15"/>
        <v>10</v>
      </c>
      <c r="C255" s="3">
        <v>43</v>
      </c>
      <c r="D255" s="3" t="s">
        <v>86</v>
      </c>
      <c r="G255" s="3">
        <v>2000</v>
      </c>
      <c r="P255" s="3">
        <v>1242</v>
      </c>
      <c r="S255" s="3" t="s">
        <v>118</v>
      </c>
      <c r="T255" s="2">
        <v>1000000</v>
      </c>
      <c r="X255" s="3" t="s">
        <v>60</v>
      </c>
      <c r="Y255" s="3" t="s">
        <v>19</v>
      </c>
      <c r="Z255" s="2">
        <f t="shared" si="16"/>
        <v>1</v>
      </c>
      <c r="AA255" s="2">
        <f t="shared" si="17"/>
        <v>1</v>
      </c>
      <c r="AB255" s="2">
        <v>224</v>
      </c>
    </row>
    <row r="256" spans="1:28" x14ac:dyDescent="0.75">
      <c r="A256" s="3">
        <v>1</v>
      </c>
      <c r="B256" s="2">
        <f t="shared" si="15"/>
        <v>10</v>
      </c>
      <c r="C256" s="3">
        <v>44</v>
      </c>
      <c r="D256" s="3" t="s">
        <v>86</v>
      </c>
      <c r="G256" s="3">
        <v>2000</v>
      </c>
      <c r="P256" s="3">
        <v>1243</v>
      </c>
      <c r="S256" s="3" t="s">
        <v>118</v>
      </c>
      <c r="T256" s="2">
        <v>1000000</v>
      </c>
      <c r="X256" s="3" t="s">
        <v>60</v>
      </c>
      <c r="Y256" s="3" t="s">
        <v>19</v>
      </c>
      <c r="Z256" s="2">
        <f t="shared" si="16"/>
        <v>1</v>
      </c>
      <c r="AA256" s="2">
        <f t="shared" si="17"/>
        <v>1</v>
      </c>
      <c r="AB256" s="2">
        <v>225</v>
      </c>
    </row>
    <row r="257" spans="1:28" x14ac:dyDescent="0.75">
      <c r="A257" s="3">
        <v>1</v>
      </c>
      <c r="B257" s="2">
        <f t="shared" si="15"/>
        <v>10</v>
      </c>
      <c r="C257" s="3">
        <v>45</v>
      </c>
      <c r="D257" s="3" t="s">
        <v>86</v>
      </c>
      <c r="G257" s="3">
        <v>2000</v>
      </c>
      <c r="P257" s="3">
        <v>1244</v>
      </c>
      <c r="S257" s="3" t="s">
        <v>118</v>
      </c>
      <c r="T257" s="2">
        <v>1000000</v>
      </c>
      <c r="X257" s="3" t="s">
        <v>60</v>
      </c>
      <c r="Y257" s="3" t="s">
        <v>19</v>
      </c>
      <c r="Z257" s="2">
        <f t="shared" si="16"/>
        <v>1</v>
      </c>
      <c r="AA257" s="2">
        <f t="shared" si="17"/>
        <v>1</v>
      </c>
      <c r="AB257" s="2">
        <v>226</v>
      </c>
    </row>
    <row r="258" spans="1:28" x14ac:dyDescent="0.75">
      <c r="A258" s="3">
        <v>1</v>
      </c>
      <c r="B258" s="2">
        <f t="shared" si="15"/>
        <v>10</v>
      </c>
      <c r="C258" s="3">
        <v>46</v>
      </c>
      <c r="D258" s="3" t="s">
        <v>86</v>
      </c>
      <c r="G258" s="3">
        <v>2000</v>
      </c>
      <c r="P258" s="3">
        <v>1245</v>
      </c>
      <c r="S258" s="3" t="s">
        <v>118</v>
      </c>
      <c r="T258" s="2">
        <v>1000000</v>
      </c>
      <c r="X258" s="3" t="s">
        <v>60</v>
      </c>
      <c r="Y258" s="3" t="s">
        <v>19</v>
      </c>
      <c r="Z258" s="2">
        <f t="shared" si="16"/>
        <v>1</v>
      </c>
      <c r="AA258" s="2">
        <f t="shared" si="17"/>
        <v>1</v>
      </c>
      <c r="AB258" s="2">
        <v>227</v>
      </c>
    </row>
    <row r="259" spans="1:28" x14ac:dyDescent="0.75">
      <c r="A259" s="3">
        <v>1</v>
      </c>
      <c r="B259" s="2">
        <f t="shared" si="15"/>
        <v>10</v>
      </c>
      <c r="C259" s="3">
        <v>47</v>
      </c>
      <c r="D259" s="3" t="s">
        <v>86</v>
      </c>
      <c r="G259" s="3">
        <v>2000</v>
      </c>
      <c r="P259" s="3">
        <v>1246</v>
      </c>
      <c r="S259" s="3" t="s">
        <v>118</v>
      </c>
      <c r="T259" s="2">
        <v>1000000</v>
      </c>
      <c r="X259" s="3" t="s">
        <v>60</v>
      </c>
      <c r="Y259" s="3" t="s">
        <v>19</v>
      </c>
      <c r="Z259" s="2">
        <f t="shared" si="16"/>
        <v>1</v>
      </c>
      <c r="AA259" s="2">
        <f t="shared" si="17"/>
        <v>1</v>
      </c>
      <c r="AB259" s="2">
        <v>228</v>
      </c>
    </row>
    <row r="260" spans="1:28" x14ac:dyDescent="0.75">
      <c r="A260" s="3">
        <v>1</v>
      </c>
      <c r="B260" s="2">
        <f t="shared" si="15"/>
        <v>10</v>
      </c>
      <c r="C260" s="3">
        <v>48</v>
      </c>
      <c r="D260" s="3" t="s">
        <v>86</v>
      </c>
      <c r="G260" s="3">
        <v>2000</v>
      </c>
      <c r="P260" s="3">
        <v>1247</v>
      </c>
      <c r="S260" s="3" t="s">
        <v>118</v>
      </c>
      <c r="T260" s="2">
        <v>1000000</v>
      </c>
      <c r="X260" s="3" t="s">
        <v>60</v>
      </c>
      <c r="Y260" s="3" t="s">
        <v>19</v>
      </c>
      <c r="Z260" s="2">
        <f t="shared" si="16"/>
        <v>1</v>
      </c>
      <c r="AA260" s="2">
        <f t="shared" si="17"/>
        <v>1</v>
      </c>
      <c r="AB260" s="2">
        <v>229</v>
      </c>
    </row>
    <row r="261" spans="1:28" x14ac:dyDescent="0.75">
      <c r="A261" s="3">
        <v>1</v>
      </c>
      <c r="B261" s="2">
        <f t="shared" si="15"/>
        <v>10</v>
      </c>
      <c r="C261" s="3">
        <v>49</v>
      </c>
      <c r="D261" s="3" t="s">
        <v>86</v>
      </c>
      <c r="G261" s="3">
        <v>2000</v>
      </c>
      <c r="P261" s="3">
        <v>1248</v>
      </c>
      <c r="S261" s="3" t="s">
        <v>118</v>
      </c>
      <c r="T261" s="2">
        <v>1000000</v>
      </c>
      <c r="X261" s="3" t="s">
        <v>60</v>
      </c>
      <c r="Y261" s="3" t="s">
        <v>19</v>
      </c>
      <c r="Z261" s="2">
        <f t="shared" si="16"/>
        <v>1</v>
      </c>
      <c r="AA261" s="2">
        <f t="shared" si="17"/>
        <v>1</v>
      </c>
      <c r="AB261" s="2">
        <v>230</v>
      </c>
    </row>
    <row r="262" spans="1:28" x14ac:dyDescent="0.75">
      <c r="A262" s="3">
        <v>1</v>
      </c>
      <c r="B262" s="2">
        <f t="shared" si="15"/>
        <v>10</v>
      </c>
      <c r="C262" s="3">
        <v>50</v>
      </c>
      <c r="D262" s="3" t="s">
        <v>86</v>
      </c>
      <c r="G262" s="3">
        <v>2000</v>
      </c>
      <c r="P262" s="3">
        <v>1249</v>
      </c>
      <c r="S262" s="3" t="s">
        <v>118</v>
      </c>
      <c r="T262" s="2">
        <v>1000000</v>
      </c>
      <c r="X262" s="3" t="s">
        <v>60</v>
      </c>
      <c r="Y262" s="3" t="s">
        <v>19</v>
      </c>
      <c r="Z262" s="2">
        <f t="shared" si="16"/>
        <v>1</v>
      </c>
      <c r="AA262" s="2">
        <f t="shared" si="17"/>
        <v>1</v>
      </c>
      <c r="AB262" s="2">
        <v>231</v>
      </c>
    </row>
    <row r="263" spans="1:28" x14ac:dyDescent="0.75">
      <c r="A263" s="3">
        <v>1</v>
      </c>
      <c r="B263" s="2">
        <f t="shared" si="15"/>
        <v>11</v>
      </c>
      <c r="C263" s="3">
        <v>1</v>
      </c>
      <c r="D263" s="3" t="s">
        <v>86</v>
      </c>
      <c r="G263" s="3">
        <v>2000</v>
      </c>
      <c r="P263" s="3">
        <v>1000</v>
      </c>
      <c r="S263" s="3" t="s">
        <v>118</v>
      </c>
      <c r="T263" s="2">
        <v>1000000</v>
      </c>
      <c r="X263" s="3" t="s">
        <v>60</v>
      </c>
      <c r="Y263" s="3" t="s">
        <v>19</v>
      </c>
      <c r="Z263" s="2">
        <f t="shared" si="16"/>
        <v>1</v>
      </c>
      <c r="AA263" s="2">
        <f t="shared" si="17"/>
        <v>1</v>
      </c>
      <c r="AB263" s="2">
        <v>232</v>
      </c>
    </row>
    <row r="264" spans="1:28" x14ac:dyDescent="0.75">
      <c r="A264" s="3">
        <v>1</v>
      </c>
      <c r="B264" s="2">
        <f t="shared" si="15"/>
        <v>12</v>
      </c>
      <c r="C264" s="3">
        <v>1</v>
      </c>
      <c r="D264" s="3" t="s">
        <v>86</v>
      </c>
      <c r="G264" s="3">
        <v>2000</v>
      </c>
      <c r="P264" s="3">
        <v>1001</v>
      </c>
      <c r="S264" s="3" t="s">
        <v>118</v>
      </c>
      <c r="T264" s="2">
        <v>1000000</v>
      </c>
      <c r="X264" s="3" t="s">
        <v>60</v>
      </c>
      <c r="Y264" s="3" t="s">
        <v>21</v>
      </c>
      <c r="Z264" s="2">
        <f t="shared" si="16"/>
        <v>1</v>
      </c>
      <c r="AA264" s="2">
        <f t="shared" si="17"/>
        <v>0</v>
      </c>
      <c r="AB264" s="2" t="s">
        <v>135</v>
      </c>
    </row>
    <row r="265" spans="1:28" x14ac:dyDescent="0.75">
      <c r="A265" s="3">
        <v>1</v>
      </c>
      <c r="B265" s="2">
        <f t="shared" si="15"/>
        <v>12</v>
      </c>
      <c r="C265" s="3">
        <v>2</v>
      </c>
      <c r="D265" s="3" t="s">
        <v>86</v>
      </c>
      <c r="G265" s="3">
        <v>2000</v>
      </c>
      <c r="P265" s="3">
        <v>1002</v>
      </c>
      <c r="S265" s="3" t="s">
        <v>118</v>
      </c>
      <c r="T265" s="2">
        <v>1000000</v>
      </c>
      <c r="X265" s="3" t="s">
        <v>60</v>
      </c>
      <c r="Y265" s="3" t="s">
        <v>21</v>
      </c>
      <c r="Z265" s="2">
        <f t="shared" si="16"/>
        <v>1</v>
      </c>
      <c r="AA265" s="2">
        <f t="shared" si="17"/>
        <v>0</v>
      </c>
      <c r="AB265" s="2" t="s">
        <v>135</v>
      </c>
    </row>
    <row r="266" spans="1:28" x14ac:dyDescent="0.75">
      <c r="A266" s="3">
        <v>1</v>
      </c>
      <c r="B266" s="2">
        <f t="shared" si="15"/>
        <v>12</v>
      </c>
      <c r="C266" s="3">
        <v>3</v>
      </c>
      <c r="D266" s="3" t="s">
        <v>86</v>
      </c>
      <c r="G266" s="3">
        <v>2000</v>
      </c>
      <c r="P266" s="3">
        <v>1003</v>
      </c>
      <c r="S266" s="3" t="s">
        <v>118</v>
      </c>
      <c r="T266" s="2">
        <v>1000000</v>
      </c>
      <c r="X266" s="3" t="s">
        <v>60</v>
      </c>
      <c r="Y266" s="3" t="s">
        <v>21</v>
      </c>
      <c r="Z266" s="2">
        <f t="shared" si="16"/>
        <v>1</v>
      </c>
      <c r="AA266" s="2">
        <f t="shared" si="17"/>
        <v>0</v>
      </c>
      <c r="AB266" s="2" t="s">
        <v>135</v>
      </c>
    </row>
    <row r="267" spans="1:28" x14ac:dyDescent="0.75">
      <c r="A267" s="3">
        <v>1</v>
      </c>
      <c r="B267" s="2">
        <f t="shared" si="15"/>
        <v>12</v>
      </c>
      <c r="C267" s="3">
        <v>4</v>
      </c>
      <c r="D267" s="3" t="s">
        <v>86</v>
      </c>
      <c r="G267" s="3">
        <v>2000</v>
      </c>
      <c r="P267" s="3">
        <v>1004</v>
      </c>
      <c r="S267" s="3" t="s">
        <v>118</v>
      </c>
      <c r="T267" s="2">
        <v>1000000</v>
      </c>
      <c r="X267" s="3" t="s">
        <v>60</v>
      </c>
      <c r="Y267" s="3" t="s">
        <v>21</v>
      </c>
      <c r="Z267" s="2">
        <f t="shared" si="16"/>
        <v>1</v>
      </c>
      <c r="AA267" s="2">
        <f t="shared" si="17"/>
        <v>0</v>
      </c>
      <c r="AB267" s="2" t="s">
        <v>135</v>
      </c>
    </row>
    <row r="268" spans="1:28" x14ac:dyDescent="0.75">
      <c r="A268" s="3">
        <v>1</v>
      </c>
      <c r="B268" s="2">
        <f t="shared" si="15"/>
        <v>12</v>
      </c>
      <c r="C268" s="3">
        <v>5</v>
      </c>
      <c r="D268" s="3" t="s">
        <v>86</v>
      </c>
      <c r="G268" s="3">
        <v>2000</v>
      </c>
      <c r="P268" s="3">
        <v>1005</v>
      </c>
      <c r="S268" s="3" t="s">
        <v>118</v>
      </c>
      <c r="T268" s="2">
        <v>1000000</v>
      </c>
      <c r="X268" s="3" t="s">
        <v>60</v>
      </c>
      <c r="Y268" s="3" t="s">
        <v>21</v>
      </c>
      <c r="Z268" s="2">
        <f t="shared" si="16"/>
        <v>1</v>
      </c>
      <c r="AA268" s="2">
        <f t="shared" si="17"/>
        <v>0</v>
      </c>
      <c r="AB268" s="2" t="s">
        <v>135</v>
      </c>
    </row>
    <row r="269" spans="1:28" x14ac:dyDescent="0.75">
      <c r="A269" s="3">
        <v>1</v>
      </c>
      <c r="B269" s="2">
        <f t="shared" si="15"/>
        <v>12</v>
      </c>
      <c r="C269" s="3">
        <v>6</v>
      </c>
      <c r="D269" s="3" t="s">
        <v>86</v>
      </c>
      <c r="G269" s="3">
        <v>2000</v>
      </c>
      <c r="P269" s="3">
        <v>1006</v>
      </c>
      <c r="S269" s="3" t="s">
        <v>118</v>
      </c>
      <c r="T269" s="2">
        <v>1000000</v>
      </c>
      <c r="X269" s="3" t="s">
        <v>60</v>
      </c>
      <c r="Y269" s="3" t="s">
        <v>21</v>
      </c>
      <c r="Z269" s="2">
        <f t="shared" si="16"/>
        <v>1</v>
      </c>
      <c r="AA269" s="2">
        <f t="shared" si="17"/>
        <v>0</v>
      </c>
      <c r="AB269" s="2" t="s">
        <v>135</v>
      </c>
    </row>
    <row r="270" spans="1:28" x14ac:dyDescent="0.75">
      <c r="A270" s="3">
        <v>1</v>
      </c>
      <c r="B270" s="2">
        <f t="shared" si="15"/>
        <v>12</v>
      </c>
      <c r="C270" s="3">
        <v>7</v>
      </c>
      <c r="D270" s="3" t="s">
        <v>86</v>
      </c>
      <c r="G270" s="3">
        <v>2000</v>
      </c>
      <c r="P270" s="3">
        <v>1007</v>
      </c>
      <c r="S270" s="3" t="s">
        <v>118</v>
      </c>
      <c r="T270" s="2">
        <v>1000000</v>
      </c>
      <c r="X270" s="3" t="s">
        <v>60</v>
      </c>
      <c r="Y270" s="3" t="s">
        <v>21</v>
      </c>
      <c r="Z270" s="2">
        <f t="shared" si="16"/>
        <v>1</v>
      </c>
      <c r="AA270" s="2">
        <f t="shared" si="17"/>
        <v>0</v>
      </c>
      <c r="AB270" s="2" t="s">
        <v>135</v>
      </c>
    </row>
    <row r="271" spans="1:28" x14ac:dyDescent="0.75">
      <c r="A271" s="3">
        <v>1</v>
      </c>
      <c r="B271" s="2">
        <f t="shared" si="15"/>
        <v>12</v>
      </c>
      <c r="C271" s="3">
        <v>8</v>
      </c>
      <c r="D271" s="3" t="s">
        <v>86</v>
      </c>
      <c r="G271" s="3">
        <v>2000</v>
      </c>
      <c r="P271" s="3">
        <v>1008</v>
      </c>
      <c r="S271" s="3" t="s">
        <v>118</v>
      </c>
      <c r="T271" s="2">
        <v>1000000</v>
      </c>
      <c r="X271" s="3" t="s">
        <v>60</v>
      </c>
      <c r="Y271" s="3" t="s">
        <v>21</v>
      </c>
      <c r="Z271" s="2">
        <f t="shared" si="16"/>
        <v>1</v>
      </c>
      <c r="AA271" s="2">
        <f t="shared" si="17"/>
        <v>0</v>
      </c>
      <c r="AB271" s="2" t="s">
        <v>135</v>
      </c>
    </row>
    <row r="272" spans="1:28" x14ac:dyDescent="0.75">
      <c r="A272" s="3">
        <v>1</v>
      </c>
      <c r="B272" s="2">
        <f t="shared" si="15"/>
        <v>12</v>
      </c>
      <c r="C272" s="3">
        <v>9</v>
      </c>
      <c r="D272" s="3" t="s">
        <v>86</v>
      </c>
      <c r="G272" s="3">
        <v>2000</v>
      </c>
      <c r="P272" s="3">
        <v>1009</v>
      </c>
      <c r="S272" s="3" t="s">
        <v>118</v>
      </c>
      <c r="T272" s="2">
        <v>1000000</v>
      </c>
      <c r="X272" s="3" t="s">
        <v>60</v>
      </c>
      <c r="Y272" s="3" t="s">
        <v>21</v>
      </c>
      <c r="Z272" s="2">
        <f t="shared" si="16"/>
        <v>1</v>
      </c>
      <c r="AA272" s="2">
        <f t="shared" si="17"/>
        <v>0</v>
      </c>
      <c r="AB272" s="2" t="s">
        <v>135</v>
      </c>
    </row>
    <row r="273" spans="1:28" x14ac:dyDescent="0.75">
      <c r="A273" s="3">
        <v>1</v>
      </c>
      <c r="B273" s="2">
        <f t="shared" si="15"/>
        <v>12</v>
      </c>
      <c r="C273" s="3">
        <v>10</v>
      </c>
      <c r="D273" s="3" t="s">
        <v>86</v>
      </c>
      <c r="G273" s="3">
        <v>2000</v>
      </c>
      <c r="P273" s="3">
        <v>1010</v>
      </c>
      <c r="S273" s="3" t="s">
        <v>118</v>
      </c>
      <c r="T273" s="2">
        <v>1000000</v>
      </c>
      <c r="X273" s="3" t="s">
        <v>60</v>
      </c>
      <c r="Y273" s="3" t="s">
        <v>21</v>
      </c>
      <c r="Z273" s="2">
        <f t="shared" si="16"/>
        <v>1</v>
      </c>
      <c r="AA273" s="2">
        <f t="shared" si="17"/>
        <v>0</v>
      </c>
      <c r="AB273" s="2" t="s">
        <v>135</v>
      </c>
    </row>
    <row r="274" spans="1:28" x14ac:dyDescent="0.75">
      <c r="A274" s="3">
        <v>1</v>
      </c>
      <c r="B274" s="2">
        <f t="shared" si="15"/>
        <v>12</v>
      </c>
      <c r="C274" s="3">
        <v>11</v>
      </c>
      <c r="D274" s="3" t="s">
        <v>86</v>
      </c>
      <c r="G274" s="3">
        <v>2000</v>
      </c>
      <c r="P274" s="3">
        <v>1011</v>
      </c>
      <c r="S274" s="3" t="s">
        <v>118</v>
      </c>
      <c r="T274" s="2">
        <v>1000000</v>
      </c>
      <c r="X274" s="3" t="s">
        <v>60</v>
      </c>
      <c r="Y274" s="3" t="s">
        <v>21</v>
      </c>
      <c r="Z274" s="2">
        <f t="shared" si="16"/>
        <v>1</v>
      </c>
      <c r="AA274" s="2">
        <f t="shared" si="17"/>
        <v>0</v>
      </c>
      <c r="AB274" s="2" t="s">
        <v>135</v>
      </c>
    </row>
    <row r="275" spans="1:28" x14ac:dyDescent="0.75">
      <c r="A275" s="3">
        <v>1</v>
      </c>
      <c r="B275" s="2">
        <f t="shared" si="15"/>
        <v>12</v>
      </c>
      <c r="C275" s="3">
        <v>12</v>
      </c>
      <c r="D275" s="3" t="s">
        <v>86</v>
      </c>
      <c r="G275" s="3">
        <v>2000</v>
      </c>
      <c r="P275" s="3">
        <v>1012</v>
      </c>
      <c r="S275" s="3" t="s">
        <v>118</v>
      </c>
      <c r="T275" s="2">
        <v>1000000</v>
      </c>
      <c r="X275" s="3" t="s">
        <v>60</v>
      </c>
      <c r="Y275" s="3" t="s">
        <v>21</v>
      </c>
      <c r="Z275" s="2">
        <f t="shared" si="16"/>
        <v>1</v>
      </c>
      <c r="AA275" s="2">
        <f t="shared" si="17"/>
        <v>0</v>
      </c>
      <c r="AB275" s="2" t="s">
        <v>135</v>
      </c>
    </row>
    <row r="276" spans="1:28" x14ac:dyDescent="0.75">
      <c r="A276" s="3">
        <v>1</v>
      </c>
      <c r="B276" s="2">
        <f t="shared" si="15"/>
        <v>12</v>
      </c>
      <c r="C276" s="3">
        <v>13</v>
      </c>
      <c r="D276" s="3" t="s">
        <v>86</v>
      </c>
      <c r="G276" s="3">
        <v>2000</v>
      </c>
      <c r="P276" s="3">
        <v>1013</v>
      </c>
      <c r="S276" s="3" t="s">
        <v>118</v>
      </c>
      <c r="T276" s="2">
        <v>1000000</v>
      </c>
      <c r="X276" s="3" t="s">
        <v>60</v>
      </c>
      <c r="Y276" s="3" t="s">
        <v>21</v>
      </c>
      <c r="Z276" s="2">
        <f t="shared" si="16"/>
        <v>1</v>
      </c>
      <c r="AA276" s="2">
        <f t="shared" si="17"/>
        <v>0</v>
      </c>
      <c r="AB276" s="2" t="s">
        <v>135</v>
      </c>
    </row>
    <row r="277" spans="1:28" x14ac:dyDescent="0.75">
      <c r="A277" s="3">
        <v>1</v>
      </c>
      <c r="B277" s="2">
        <f t="shared" si="15"/>
        <v>12</v>
      </c>
      <c r="C277" s="3">
        <v>14</v>
      </c>
      <c r="D277" s="3" t="s">
        <v>86</v>
      </c>
      <c r="G277" s="3">
        <v>2000</v>
      </c>
      <c r="P277" s="3">
        <v>1014</v>
      </c>
      <c r="S277" s="3" t="s">
        <v>118</v>
      </c>
      <c r="T277" s="2">
        <v>1000000</v>
      </c>
      <c r="X277" s="3" t="s">
        <v>60</v>
      </c>
      <c r="Y277" s="3" t="s">
        <v>21</v>
      </c>
      <c r="Z277" s="2">
        <f t="shared" si="16"/>
        <v>1</v>
      </c>
      <c r="AA277" s="2">
        <f t="shared" si="17"/>
        <v>0</v>
      </c>
      <c r="AB277" s="2" t="s">
        <v>135</v>
      </c>
    </row>
    <row r="278" spans="1:28" x14ac:dyDescent="0.75">
      <c r="A278" s="3">
        <v>1</v>
      </c>
      <c r="B278" s="2">
        <f t="shared" si="15"/>
        <v>12</v>
      </c>
      <c r="C278" s="3">
        <v>15</v>
      </c>
      <c r="D278" s="3" t="s">
        <v>86</v>
      </c>
      <c r="G278" s="3">
        <v>2000</v>
      </c>
      <c r="P278" s="3">
        <v>1015</v>
      </c>
      <c r="S278" s="3" t="s">
        <v>118</v>
      </c>
      <c r="T278" s="2">
        <v>1000000</v>
      </c>
      <c r="X278" s="3" t="s">
        <v>60</v>
      </c>
      <c r="Y278" s="3" t="s">
        <v>21</v>
      </c>
      <c r="Z278" s="2">
        <f t="shared" si="16"/>
        <v>1</v>
      </c>
      <c r="AA278" s="2">
        <f t="shared" si="17"/>
        <v>0</v>
      </c>
      <c r="AB278" s="2" t="s">
        <v>135</v>
      </c>
    </row>
    <row r="279" spans="1:28" x14ac:dyDescent="0.75">
      <c r="A279" s="3">
        <v>1</v>
      </c>
      <c r="B279" s="2">
        <f t="shared" ref="B279:B312" si="18">IF(C279=1,B278+1,B278)</f>
        <v>12</v>
      </c>
      <c r="C279" s="3">
        <v>16</v>
      </c>
      <c r="D279" s="3" t="s">
        <v>86</v>
      </c>
      <c r="G279" s="3">
        <v>2000</v>
      </c>
      <c r="P279" s="3">
        <v>1016</v>
      </c>
      <c r="S279" s="3" t="s">
        <v>118</v>
      </c>
      <c r="T279" s="2">
        <v>1000000</v>
      </c>
      <c r="X279" s="3" t="s">
        <v>60</v>
      </c>
      <c r="Y279" s="3" t="s">
        <v>21</v>
      </c>
      <c r="Z279" s="2">
        <f t="shared" si="16"/>
        <v>1</v>
      </c>
      <c r="AA279" s="2">
        <f t="shared" si="17"/>
        <v>0</v>
      </c>
      <c r="AB279" s="2" t="s">
        <v>135</v>
      </c>
    </row>
    <row r="280" spans="1:28" x14ac:dyDescent="0.75">
      <c r="A280" s="3">
        <v>1</v>
      </c>
      <c r="B280" s="2">
        <f t="shared" si="18"/>
        <v>12</v>
      </c>
      <c r="C280" s="3">
        <v>17</v>
      </c>
      <c r="D280" s="3" t="s">
        <v>86</v>
      </c>
      <c r="G280" s="3">
        <v>2000</v>
      </c>
      <c r="P280" s="3">
        <v>1017</v>
      </c>
      <c r="S280" s="3" t="s">
        <v>118</v>
      </c>
      <c r="T280" s="2">
        <v>1000000</v>
      </c>
      <c r="X280" s="3" t="s">
        <v>60</v>
      </c>
      <c r="Y280" s="3" t="s">
        <v>21</v>
      </c>
      <c r="Z280" s="2">
        <f t="shared" si="16"/>
        <v>1</v>
      </c>
      <c r="AA280" s="2">
        <f t="shared" si="17"/>
        <v>0</v>
      </c>
      <c r="AB280" s="2" t="s">
        <v>135</v>
      </c>
    </row>
    <row r="281" spans="1:28" x14ac:dyDescent="0.75">
      <c r="A281" s="3">
        <v>1</v>
      </c>
      <c r="B281" s="2">
        <f t="shared" si="18"/>
        <v>12</v>
      </c>
      <c r="C281" s="3">
        <v>18</v>
      </c>
      <c r="D281" s="3" t="s">
        <v>86</v>
      </c>
      <c r="G281" s="3">
        <v>2000</v>
      </c>
      <c r="P281" s="3">
        <v>1018</v>
      </c>
      <c r="S281" s="3" t="s">
        <v>118</v>
      </c>
      <c r="T281" s="2">
        <v>1000000</v>
      </c>
      <c r="X281" s="3" t="s">
        <v>60</v>
      </c>
      <c r="Y281" s="3" t="s">
        <v>21</v>
      </c>
      <c r="Z281" s="2">
        <f t="shared" si="16"/>
        <v>1</v>
      </c>
      <c r="AA281" s="2">
        <f t="shared" si="17"/>
        <v>0</v>
      </c>
      <c r="AB281" s="2" t="s">
        <v>135</v>
      </c>
    </row>
    <row r="282" spans="1:28" x14ac:dyDescent="0.75">
      <c r="A282" s="3">
        <v>1</v>
      </c>
      <c r="B282" s="2">
        <f t="shared" si="18"/>
        <v>12</v>
      </c>
      <c r="C282" s="3">
        <v>19</v>
      </c>
      <c r="D282" s="3" t="s">
        <v>86</v>
      </c>
      <c r="G282" s="3">
        <v>2000</v>
      </c>
      <c r="P282" s="3">
        <v>1019</v>
      </c>
      <c r="S282" s="3" t="s">
        <v>118</v>
      </c>
      <c r="T282" s="2">
        <v>1000000</v>
      </c>
      <c r="X282" s="3" t="s">
        <v>60</v>
      </c>
      <c r="Y282" s="3" t="s">
        <v>21</v>
      </c>
      <c r="Z282" s="2">
        <f t="shared" si="16"/>
        <v>1</v>
      </c>
      <c r="AA282" s="2">
        <f t="shared" si="17"/>
        <v>0</v>
      </c>
      <c r="AB282" s="2" t="s">
        <v>135</v>
      </c>
    </row>
    <row r="283" spans="1:28" x14ac:dyDescent="0.75">
      <c r="A283" s="3">
        <v>1</v>
      </c>
      <c r="B283" s="2">
        <f t="shared" si="18"/>
        <v>12</v>
      </c>
      <c r="C283" s="3">
        <v>20</v>
      </c>
      <c r="D283" s="3" t="s">
        <v>86</v>
      </c>
      <c r="G283" s="3">
        <v>2000</v>
      </c>
      <c r="P283" s="3">
        <v>1020</v>
      </c>
      <c r="S283" s="3" t="s">
        <v>118</v>
      </c>
      <c r="T283" s="2">
        <v>1000000</v>
      </c>
      <c r="X283" s="3" t="s">
        <v>60</v>
      </c>
      <c r="Y283" s="3" t="s">
        <v>21</v>
      </c>
      <c r="Z283" s="2">
        <f t="shared" si="16"/>
        <v>1</v>
      </c>
      <c r="AA283" s="2">
        <f t="shared" si="17"/>
        <v>0</v>
      </c>
      <c r="AB283" s="2" t="s">
        <v>135</v>
      </c>
    </row>
    <row r="284" spans="1:28" x14ac:dyDescent="0.75">
      <c r="A284" s="3">
        <v>1</v>
      </c>
      <c r="B284" s="2">
        <f t="shared" si="18"/>
        <v>12</v>
      </c>
      <c r="C284" s="3">
        <v>21</v>
      </c>
      <c r="D284" s="3" t="s">
        <v>86</v>
      </c>
      <c r="G284" s="3">
        <v>2000</v>
      </c>
      <c r="P284" s="3">
        <v>1021</v>
      </c>
      <c r="S284" s="3" t="s">
        <v>118</v>
      </c>
      <c r="T284" s="2">
        <v>1000000</v>
      </c>
      <c r="X284" s="3" t="s">
        <v>60</v>
      </c>
      <c r="Y284" s="3" t="s">
        <v>21</v>
      </c>
      <c r="Z284" s="2">
        <f t="shared" si="16"/>
        <v>1</v>
      </c>
      <c r="AA284" s="2">
        <f t="shared" si="17"/>
        <v>0</v>
      </c>
      <c r="AB284" s="2" t="s">
        <v>135</v>
      </c>
    </row>
    <row r="285" spans="1:28" x14ac:dyDescent="0.75">
      <c r="A285" s="3">
        <v>1</v>
      </c>
      <c r="B285" s="2">
        <f t="shared" si="18"/>
        <v>12</v>
      </c>
      <c r="C285" s="3">
        <v>22</v>
      </c>
      <c r="D285" s="3" t="s">
        <v>86</v>
      </c>
      <c r="G285" s="3">
        <v>2000</v>
      </c>
      <c r="P285" s="3">
        <v>1022</v>
      </c>
      <c r="S285" s="3" t="s">
        <v>118</v>
      </c>
      <c r="T285" s="2">
        <v>1000000</v>
      </c>
      <c r="X285" s="3" t="s">
        <v>60</v>
      </c>
      <c r="Y285" s="3" t="s">
        <v>21</v>
      </c>
      <c r="Z285" s="2">
        <f t="shared" si="16"/>
        <v>1</v>
      </c>
      <c r="AA285" s="2">
        <f t="shared" si="17"/>
        <v>0</v>
      </c>
      <c r="AB285" s="2" t="s">
        <v>135</v>
      </c>
    </row>
    <row r="286" spans="1:28" x14ac:dyDescent="0.75">
      <c r="A286" s="3">
        <v>1</v>
      </c>
      <c r="B286" s="2">
        <f t="shared" si="18"/>
        <v>12</v>
      </c>
      <c r="C286" s="3">
        <v>23</v>
      </c>
      <c r="D286" s="3" t="s">
        <v>86</v>
      </c>
      <c r="G286" s="3">
        <v>2000</v>
      </c>
      <c r="P286" s="3">
        <v>1023</v>
      </c>
      <c r="S286" s="3" t="s">
        <v>118</v>
      </c>
      <c r="T286" s="2">
        <v>1000000</v>
      </c>
      <c r="X286" s="3" t="s">
        <v>60</v>
      </c>
      <c r="Y286" s="3" t="s">
        <v>21</v>
      </c>
      <c r="Z286" s="2">
        <f t="shared" si="16"/>
        <v>1</v>
      </c>
      <c r="AA286" s="2">
        <f t="shared" si="17"/>
        <v>0</v>
      </c>
      <c r="AB286" s="2" t="s">
        <v>135</v>
      </c>
    </row>
    <row r="287" spans="1:28" x14ac:dyDescent="0.75">
      <c r="A287" s="3">
        <v>1</v>
      </c>
      <c r="B287" s="2">
        <f t="shared" si="18"/>
        <v>12</v>
      </c>
      <c r="C287" s="3">
        <v>24</v>
      </c>
      <c r="D287" s="3" t="s">
        <v>86</v>
      </c>
      <c r="G287" s="3">
        <v>2000</v>
      </c>
      <c r="P287" s="3">
        <v>1024</v>
      </c>
      <c r="S287" s="3" t="s">
        <v>118</v>
      </c>
      <c r="T287" s="2">
        <v>1000000</v>
      </c>
      <c r="X287" s="3" t="s">
        <v>60</v>
      </c>
      <c r="Y287" s="3" t="s">
        <v>21</v>
      </c>
      <c r="Z287" s="2">
        <f t="shared" si="16"/>
        <v>1</v>
      </c>
      <c r="AA287" s="2">
        <f t="shared" si="17"/>
        <v>0</v>
      </c>
      <c r="AB287" s="2" t="s">
        <v>135</v>
      </c>
    </row>
    <row r="288" spans="1:28" x14ac:dyDescent="0.75">
      <c r="A288" s="3">
        <v>1</v>
      </c>
      <c r="B288" s="2">
        <f t="shared" si="18"/>
        <v>12</v>
      </c>
      <c r="C288" s="3">
        <v>25</v>
      </c>
      <c r="D288" s="3" t="s">
        <v>86</v>
      </c>
      <c r="G288" s="3">
        <v>2000</v>
      </c>
      <c r="P288" s="3">
        <v>1025</v>
      </c>
      <c r="S288" s="3" t="s">
        <v>118</v>
      </c>
      <c r="T288" s="2">
        <v>1000000</v>
      </c>
      <c r="X288" s="3" t="s">
        <v>60</v>
      </c>
      <c r="Y288" s="3" t="s">
        <v>21</v>
      </c>
      <c r="Z288" s="2">
        <f t="shared" si="16"/>
        <v>1</v>
      </c>
      <c r="AA288" s="2">
        <f t="shared" si="17"/>
        <v>0</v>
      </c>
      <c r="AB288" s="2" t="s">
        <v>135</v>
      </c>
    </row>
    <row r="289" spans="1:28" x14ac:dyDescent="0.75">
      <c r="A289" s="3">
        <v>1</v>
      </c>
      <c r="B289" s="2">
        <f t="shared" si="18"/>
        <v>12</v>
      </c>
      <c r="C289" s="3">
        <v>26</v>
      </c>
      <c r="D289" s="3" t="s">
        <v>86</v>
      </c>
      <c r="G289" s="3">
        <v>2000</v>
      </c>
      <c r="P289" s="3">
        <v>1026</v>
      </c>
      <c r="S289" s="3" t="s">
        <v>118</v>
      </c>
      <c r="T289" s="2">
        <v>1000000</v>
      </c>
      <c r="X289" s="3" t="s">
        <v>60</v>
      </c>
      <c r="Y289" s="3" t="s">
        <v>21</v>
      </c>
      <c r="Z289" s="2">
        <f t="shared" si="16"/>
        <v>1</v>
      </c>
      <c r="AA289" s="2">
        <f t="shared" si="17"/>
        <v>0</v>
      </c>
      <c r="AB289" s="2" t="s">
        <v>135</v>
      </c>
    </row>
    <row r="290" spans="1:28" x14ac:dyDescent="0.75">
      <c r="A290" s="3">
        <v>1</v>
      </c>
      <c r="B290" s="2">
        <f t="shared" si="18"/>
        <v>12</v>
      </c>
      <c r="C290" s="3">
        <v>27</v>
      </c>
      <c r="D290" s="3" t="s">
        <v>86</v>
      </c>
      <c r="G290" s="3">
        <v>2000</v>
      </c>
      <c r="P290" s="3">
        <v>1027</v>
      </c>
      <c r="S290" s="3" t="s">
        <v>118</v>
      </c>
      <c r="T290" s="2">
        <v>1000000</v>
      </c>
      <c r="X290" s="3" t="s">
        <v>60</v>
      </c>
      <c r="Y290" s="3" t="s">
        <v>21</v>
      </c>
      <c r="Z290" s="2">
        <f t="shared" si="16"/>
        <v>1</v>
      </c>
      <c r="AA290" s="2">
        <f t="shared" si="17"/>
        <v>0</v>
      </c>
      <c r="AB290" s="2" t="s">
        <v>135</v>
      </c>
    </row>
    <row r="291" spans="1:28" x14ac:dyDescent="0.75">
      <c r="A291" s="3">
        <v>1</v>
      </c>
      <c r="B291" s="2">
        <f t="shared" si="18"/>
        <v>12</v>
      </c>
      <c r="C291" s="3">
        <v>28</v>
      </c>
      <c r="D291" s="3" t="s">
        <v>86</v>
      </c>
      <c r="G291" s="3">
        <v>2000</v>
      </c>
      <c r="P291" s="3">
        <v>1028</v>
      </c>
      <c r="S291" s="3" t="s">
        <v>118</v>
      </c>
      <c r="T291" s="2">
        <v>1000000</v>
      </c>
      <c r="X291" s="3" t="s">
        <v>60</v>
      </c>
      <c r="Y291" s="3" t="s">
        <v>21</v>
      </c>
      <c r="Z291" s="2">
        <f t="shared" si="16"/>
        <v>1</v>
      </c>
      <c r="AA291" s="2">
        <f t="shared" si="17"/>
        <v>0</v>
      </c>
      <c r="AB291" s="2" t="s">
        <v>135</v>
      </c>
    </row>
    <row r="292" spans="1:28" x14ac:dyDescent="0.75">
      <c r="A292" s="3">
        <v>1</v>
      </c>
      <c r="B292" s="2">
        <f t="shared" si="18"/>
        <v>12</v>
      </c>
      <c r="C292" s="3">
        <v>29</v>
      </c>
      <c r="D292" s="3" t="s">
        <v>86</v>
      </c>
      <c r="G292" s="3">
        <v>2000</v>
      </c>
      <c r="P292" s="3">
        <v>1029</v>
      </c>
      <c r="S292" s="3" t="s">
        <v>118</v>
      </c>
      <c r="T292" s="2">
        <v>1000000</v>
      </c>
      <c r="X292" s="3" t="s">
        <v>60</v>
      </c>
      <c r="Y292" s="3" t="s">
        <v>21</v>
      </c>
      <c r="Z292" s="2">
        <f t="shared" si="16"/>
        <v>1</v>
      </c>
      <c r="AA292" s="2">
        <f t="shared" si="17"/>
        <v>0</v>
      </c>
      <c r="AB292" s="2" t="s">
        <v>135</v>
      </c>
    </row>
    <row r="293" spans="1:28" x14ac:dyDescent="0.75">
      <c r="A293" s="3">
        <v>1</v>
      </c>
      <c r="B293" s="2">
        <f t="shared" si="18"/>
        <v>12</v>
      </c>
      <c r="C293" s="3">
        <v>30</v>
      </c>
      <c r="D293" s="3" t="s">
        <v>86</v>
      </c>
      <c r="G293" s="3">
        <v>2000</v>
      </c>
      <c r="P293" s="3">
        <v>1030</v>
      </c>
      <c r="S293" s="3" t="s">
        <v>118</v>
      </c>
      <c r="T293" s="2">
        <v>1000000</v>
      </c>
      <c r="X293" s="3" t="s">
        <v>60</v>
      </c>
      <c r="Y293" s="3" t="s">
        <v>21</v>
      </c>
      <c r="Z293" s="2">
        <f t="shared" si="16"/>
        <v>1</v>
      </c>
      <c r="AA293" s="2">
        <f t="shared" si="17"/>
        <v>0</v>
      </c>
      <c r="AB293" s="2" t="s">
        <v>135</v>
      </c>
    </row>
    <row r="294" spans="1:28" x14ac:dyDescent="0.75">
      <c r="A294" s="3">
        <v>1</v>
      </c>
      <c r="B294" s="2">
        <f t="shared" si="18"/>
        <v>12</v>
      </c>
      <c r="C294" s="3">
        <v>31</v>
      </c>
      <c r="D294" s="3" t="s">
        <v>86</v>
      </c>
      <c r="G294" s="3">
        <v>2000</v>
      </c>
      <c r="P294" s="3">
        <v>1031</v>
      </c>
      <c r="S294" s="3" t="s">
        <v>118</v>
      </c>
      <c r="T294" s="2">
        <v>1000000</v>
      </c>
      <c r="X294" s="3" t="s">
        <v>60</v>
      </c>
      <c r="Y294" s="3" t="s">
        <v>21</v>
      </c>
      <c r="Z294" s="2">
        <f t="shared" si="16"/>
        <v>1</v>
      </c>
      <c r="AA294" s="2">
        <f t="shared" si="17"/>
        <v>0</v>
      </c>
      <c r="AB294" s="2" t="s">
        <v>135</v>
      </c>
    </row>
    <row r="295" spans="1:28" x14ac:dyDescent="0.75">
      <c r="A295" s="3">
        <v>1</v>
      </c>
      <c r="B295" s="2">
        <f t="shared" si="18"/>
        <v>12</v>
      </c>
      <c r="C295" s="3">
        <v>32</v>
      </c>
      <c r="D295" s="3" t="s">
        <v>86</v>
      </c>
      <c r="G295" s="3">
        <v>2000</v>
      </c>
      <c r="P295" s="3">
        <v>1032</v>
      </c>
      <c r="S295" s="3" t="s">
        <v>118</v>
      </c>
      <c r="T295" s="2">
        <v>1000000</v>
      </c>
      <c r="X295" s="3" t="s">
        <v>60</v>
      </c>
      <c r="Y295" s="3" t="s">
        <v>21</v>
      </c>
      <c r="Z295" s="2">
        <f t="shared" si="16"/>
        <v>1</v>
      </c>
      <c r="AA295" s="2">
        <f t="shared" si="17"/>
        <v>0</v>
      </c>
      <c r="AB295" s="2" t="s">
        <v>135</v>
      </c>
    </row>
    <row r="296" spans="1:28" x14ac:dyDescent="0.75">
      <c r="A296" s="3">
        <v>1</v>
      </c>
      <c r="B296" s="2">
        <f t="shared" si="18"/>
        <v>12</v>
      </c>
      <c r="C296" s="3">
        <v>33</v>
      </c>
      <c r="D296" s="3" t="s">
        <v>86</v>
      </c>
      <c r="G296" s="3">
        <v>2000</v>
      </c>
      <c r="P296" s="3">
        <v>1033</v>
      </c>
      <c r="S296" s="3" t="s">
        <v>118</v>
      </c>
      <c r="T296" s="2">
        <v>1000000</v>
      </c>
      <c r="X296" s="3" t="s">
        <v>60</v>
      </c>
      <c r="Y296" s="3" t="s">
        <v>21</v>
      </c>
      <c r="Z296" s="2">
        <f t="shared" si="16"/>
        <v>1</v>
      </c>
      <c r="AA296" s="2">
        <f t="shared" si="17"/>
        <v>0</v>
      </c>
      <c r="AB296" s="2" t="s">
        <v>135</v>
      </c>
    </row>
    <row r="297" spans="1:28" x14ac:dyDescent="0.75">
      <c r="A297" s="3">
        <v>1</v>
      </c>
      <c r="B297" s="2">
        <f t="shared" si="18"/>
        <v>12</v>
      </c>
      <c r="C297" s="3">
        <v>34</v>
      </c>
      <c r="D297" s="3" t="s">
        <v>86</v>
      </c>
      <c r="G297" s="3">
        <v>2000</v>
      </c>
      <c r="P297" s="3">
        <v>1034</v>
      </c>
      <c r="S297" s="3" t="s">
        <v>118</v>
      </c>
      <c r="T297" s="2">
        <v>1000000</v>
      </c>
      <c r="X297" s="3" t="s">
        <v>60</v>
      </c>
      <c r="Y297" s="3" t="s">
        <v>21</v>
      </c>
      <c r="Z297" s="2">
        <f t="shared" si="16"/>
        <v>1</v>
      </c>
      <c r="AA297" s="2">
        <f t="shared" si="17"/>
        <v>0</v>
      </c>
      <c r="AB297" s="2" t="s">
        <v>135</v>
      </c>
    </row>
    <row r="298" spans="1:28" x14ac:dyDescent="0.75">
      <c r="A298" s="3">
        <v>1</v>
      </c>
      <c r="B298" s="2">
        <f t="shared" si="18"/>
        <v>12</v>
      </c>
      <c r="C298" s="3">
        <v>35</v>
      </c>
      <c r="D298" s="3" t="s">
        <v>86</v>
      </c>
      <c r="G298" s="3">
        <v>2000</v>
      </c>
      <c r="P298" s="3">
        <v>1035</v>
      </c>
      <c r="S298" s="3" t="s">
        <v>118</v>
      </c>
      <c r="T298" s="2">
        <v>1000000</v>
      </c>
      <c r="X298" s="3" t="s">
        <v>60</v>
      </c>
      <c r="Y298" s="3" t="s">
        <v>21</v>
      </c>
      <c r="Z298" s="2">
        <f t="shared" si="16"/>
        <v>1</v>
      </c>
      <c r="AA298" s="2">
        <f t="shared" si="17"/>
        <v>0</v>
      </c>
      <c r="AB298" s="2" t="s">
        <v>135</v>
      </c>
    </row>
    <row r="299" spans="1:28" x14ac:dyDescent="0.75">
      <c r="A299" s="3">
        <v>1</v>
      </c>
      <c r="B299" s="2">
        <f t="shared" si="18"/>
        <v>12</v>
      </c>
      <c r="C299" s="3">
        <v>36</v>
      </c>
      <c r="D299" s="3" t="s">
        <v>86</v>
      </c>
      <c r="G299" s="3">
        <v>2000</v>
      </c>
      <c r="P299" s="3">
        <v>1036</v>
      </c>
      <c r="S299" s="3" t="s">
        <v>118</v>
      </c>
      <c r="T299" s="2">
        <v>1000000</v>
      </c>
      <c r="X299" s="3" t="s">
        <v>60</v>
      </c>
      <c r="Y299" s="3" t="s">
        <v>21</v>
      </c>
      <c r="Z299" s="2">
        <f t="shared" si="16"/>
        <v>1</v>
      </c>
      <c r="AA299" s="2">
        <f t="shared" si="17"/>
        <v>0</v>
      </c>
      <c r="AB299" s="2" t="s">
        <v>135</v>
      </c>
    </row>
    <row r="300" spans="1:28" x14ac:dyDescent="0.75">
      <c r="A300" s="3">
        <v>1</v>
      </c>
      <c r="B300" s="2">
        <f t="shared" si="18"/>
        <v>12</v>
      </c>
      <c r="C300" s="3">
        <v>37</v>
      </c>
      <c r="D300" s="3" t="s">
        <v>86</v>
      </c>
      <c r="G300" s="3">
        <v>2000</v>
      </c>
      <c r="P300" s="3">
        <v>1037</v>
      </c>
      <c r="S300" s="3" t="s">
        <v>118</v>
      </c>
      <c r="T300" s="2">
        <v>1000000</v>
      </c>
      <c r="X300" s="3" t="s">
        <v>60</v>
      </c>
      <c r="Y300" s="3" t="s">
        <v>21</v>
      </c>
      <c r="Z300" s="2">
        <f t="shared" si="16"/>
        <v>1</v>
      </c>
      <c r="AA300" s="2">
        <f t="shared" si="17"/>
        <v>0</v>
      </c>
      <c r="AB300" s="2" t="s">
        <v>135</v>
      </c>
    </row>
    <row r="301" spans="1:28" x14ac:dyDescent="0.75">
      <c r="A301" s="3">
        <v>1</v>
      </c>
      <c r="B301" s="2">
        <f t="shared" si="18"/>
        <v>12</v>
      </c>
      <c r="C301" s="3">
        <v>38</v>
      </c>
      <c r="D301" s="3" t="s">
        <v>86</v>
      </c>
      <c r="G301" s="3">
        <v>2000</v>
      </c>
      <c r="P301" s="3">
        <v>1038</v>
      </c>
      <c r="S301" s="3" t="s">
        <v>118</v>
      </c>
      <c r="T301" s="2">
        <v>1000000</v>
      </c>
      <c r="X301" s="3" t="s">
        <v>60</v>
      </c>
      <c r="Y301" s="3" t="s">
        <v>21</v>
      </c>
      <c r="Z301" s="2">
        <f t="shared" si="16"/>
        <v>1</v>
      </c>
      <c r="AA301" s="2">
        <f t="shared" si="17"/>
        <v>0</v>
      </c>
      <c r="AB301" s="2" t="s">
        <v>135</v>
      </c>
    </row>
    <row r="302" spans="1:28" x14ac:dyDescent="0.75">
      <c r="A302" s="3">
        <v>1</v>
      </c>
      <c r="B302" s="2">
        <f t="shared" si="18"/>
        <v>12</v>
      </c>
      <c r="C302" s="3">
        <v>39</v>
      </c>
      <c r="D302" s="3" t="s">
        <v>86</v>
      </c>
      <c r="G302" s="3">
        <v>2000</v>
      </c>
      <c r="P302" s="3">
        <v>1039</v>
      </c>
      <c r="S302" s="3" t="s">
        <v>118</v>
      </c>
      <c r="T302" s="2">
        <v>1000000</v>
      </c>
      <c r="X302" s="3" t="s">
        <v>60</v>
      </c>
      <c r="Y302" s="3" t="s">
        <v>21</v>
      </c>
      <c r="Z302" s="2">
        <f t="shared" si="16"/>
        <v>1</v>
      </c>
      <c r="AA302" s="2">
        <f t="shared" si="17"/>
        <v>0</v>
      </c>
      <c r="AB302" s="2" t="s">
        <v>135</v>
      </c>
    </row>
    <row r="303" spans="1:28" x14ac:dyDescent="0.75">
      <c r="A303" s="3">
        <v>1</v>
      </c>
      <c r="B303" s="2">
        <f t="shared" si="18"/>
        <v>12</v>
      </c>
      <c r="C303" s="3">
        <v>40</v>
      </c>
      <c r="D303" s="3" t="s">
        <v>86</v>
      </c>
      <c r="G303" s="3">
        <v>2000</v>
      </c>
      <c r="P303" s="3">
        <v>1040</v>
      </c>
      <c r="S303" s="3" t="s">
        <v>118</v>
      </c>
      <c r="T303" s="2">
        <v>1000000</v>
      </c>
      <c r="X303" s="3" t="s">
        <v>60</v>
      </c>
      <c r="Y303" s="3" t="s">
        <v>21</v>
      </c>
      <c r="Z303" s="2">
        <f t="shared" si="16"/>
        <v>1</v>
      </c>
      <c r="AA303" s="2">
        <f t="shared" si="17"/>
        <v>0</v>
      </c>
      <c r="AB303" s="2" t="s">
        <v>135</v>
      </c>
    </row>
    <row r="304" spans="1:28" x14ac:dyDescent="0.75">
      <c r="A304" s="3">
        <v>1</v>
      </c>
      <c r="B304" s="2">
        <f t="shared" si="18"/>
        <v>12</v>
      </c>
      <c r="C304" s="3">
        <v>41</v>
      </c>
      <c r="D304" s="3" t="s">
        <v>86</v>
      </c>
      <c r="G304" s="3">
        <v>2000</v>
      </c>
      <c r="P304" s="3">
        <v>1041</v>
      </c>
      <c r="S304" s="3" t="s">
        <v>118</v>
      </c>
      <c r="T304" s="2">
        <v>1000000</v>
      </c>
      <c r="X304" s="3" t="s">
        <v>60</v>
      </c>
      <c r="Y304" s="3" t="s">
        <v>21</v>
      </c>
      <c r="Z304" s="2">
        <f t="shared" si="16"/>
        <v>1</v>
      </c>
      <c r="AA304" s="2">
        <f t="shared" si="17"/>
        <v>0</v>
      </c>
      <c r="AB304" s="2" t="s">
        <v>135</v>
      </c>
    </row>
    <row r="305" spans="1:28" x14ac:dyDescent="0.75">
      <c r="A305" s="3">
        <v>1</v>
      </c>
      <c r="B305" s="2">
        <f t="shared" si="18"/>
        <v>12</v>
      </c>
      <c r="C305" s="3">
        <v>42</v>
      </c>
      <c r="D305" s="3" t="s">
        <v>86</v>
      </c>
      <c r="G305" s="3">
        <v>2000</v>
      </c>
      <c r="P305" s="3">
        <v>1042</v>
      </c>
      <c r="S305" s="3" t="s">
        <v>118</v>
      </c>
      <c r="T305" s="2">
        <v>1000000</v>
      </c>
      <c r="X305" s="3" t="s">
        <v>60</v>
      </c>
      <c r="Y305" s="3" t="s">
        <v>21</v>
      </c>
      <c r="Z305" s="2">
        <f t="shared" si="16"/>
        <v>1</v>
      </c>
      <c r="AA305" s="2">
        <f t="shared" si="17"/>
        <v>0</v>
      </c>
      <c r="AB305" s="2" t="s">
        <v>135</v>
      </c>
    </row>
    <row r="306" spans="1:28" x14ac:dyDescent="0.75">
      <c r="A306" s="3">
        <v>1</v>
      </c>
      <c r="B306" s="2">
        <f t="shared" si="18"/>
        <v>12</v>
      </c>
      <c r="C306" s="3">
        <v>43</v>
      </c>
      <c r="D306" s="3" t="s">
        <v>86</v>
      </c>
      <c r="G306" s="3">
        <v>2000</v>
      </c>
      <c r="P306" s="3">
        <v>1043</v>
      </c>
      <c r="S306" s="3" t="s">
        <v>118</v>
      </c>
      <c r="T306" s="2">
        <v>1000000</v>
      </c>
      <c r="X306" s="3" t="s">
        <v>60</v>
      </c>
      <c r="Y306" s="3" t="s">
        <v>21</v>
      </c>
      <c r="Z306" s="2">
        <f t="shared" si="16"/>
        <v>1</v>
      </c>
      <c r="AA306" s="2">
        <f t="shared" si="17"/>
        <v>0</v>
      </c>
      <c r="AB306" s="2" t="s">
        <v>135</v>
      </c>
    </row>
    <row r="307" spans="1:28" x14ac:dyDescent="0.75">
      <c r="A307" s="3">
        <v>1</v>
      </c>
      <c r="B307" s="2">
        <f t="shared" si="18"/>
        <v>12</v>
      </c>
      <c r="C307" s="3">
        <v>44</v>
      </c>
      <c r="D307" s="3" t="s">
        <v>86</v>
      </c>
      <c r="G307" s="3">
        <v>2000</v>
      </c>
      <c r="P307" s="3">
        <v>1044</v>
      </c>
      <c r="S307" s="3" t="s">
        <v>118</v>
      </c>
      <c r="T307" s="2">
        <v>1000000</v>
      </c>
      <c r="X307" s="3" t="s">
        <v>60</v>
      </c>
      <c r="Y307" s="3" t="s">
        <v>21</v>
      </c>
      <c r="Z307" s="2">
        <f t="shared" si="16"/>
        <v>1</v>
      </c>
      <c r="AA307" s="2">
        <f t="shared" si="17"/>
        <v>0</v>
      </c>
      <c r="AB307" s="2" t="s">
        <v>135</v>
      </c>
    </row>
    <row r="308" spans="1:28" x14ac:dyDescent="0.75">
      <c r="A308" s="3">
        <v>1</v>
      </c>
      <c r="B308" s="2">
        <f t="shared" si="18"/>
        <v>12</v>
      </c>
      <c r="C308" s="3">
        <v>45</v>
      </c>
      <c r="D308" s="3" t="s">
        <v>86</v>
      </c>
      <c r="G308" s="3">
        <v>2000</v>
      </c>
      <c r="P308" s="3">
        <v>1045</v>
      </c>
      <c r="S308" s="3" t="s">
        <v>118</v>
      </c>
      <c r="T308" s="2">
        <v>1000000</v>
      </c>
      <c r="X308" s="3" t="s">
        <v>60</v>
      </c>
      <c r="Y308" s="3" t="s">
        <v>21</v>
      </c>
      <c r="Z308" s="2">
        <f t="shared" si="16"/>
        <v>1</v>
      </c>
      <c r="AA308" s="2">
        <f t="shared" si="17"/>
        <v>0</v>
      </c>
      <c r="AB308" s="2" t="s">
        <v>135</v>
      </c>
    </row>
    <row r="309" spans="1:28" x14ac:dyDescent="0.75">
      <c r="A309" s="3">
        <v>1</v>
      </c>
      <c r="B309" s="2">
        <f t="shared" si="18"/>
        <v>12</v>
      </c>
      <c r="C309" s="3">
        <v>46</v>
      </c>
      <c r="D309" s="3" t="s">
        <v>86</v>
      </c>
      <c r="G309" s="3">
        <v>2000</v>
      </c>
      <c r="P309" s="3">
        <v>1046</v>
      </c>
      <c r="S309" s="3" t="s">
        <v>118</v>
      </c>
      <c r="T309" s="2">
        <v>1000000</v>
      </c>
      <c r="X309" s="3" t="s">
        <v>60</v>
      </c>
      <c r="Y309" s="3" t="s">
        <v>21</v>
      </c>
      <c r="Z309" s="2">
        <f t="shared" si="16"/>
        <v>1</v>
      </c>
      <c r="AA309" s="2">
        <f t="shared" si="17"/>
        <v>0</v>
      </c>
      <c r="AB309" s="2" t="s">
        <v>135</v>
      </c>
    </row>
    <row r="310" spans="1:28" x14ac:dyDescent="0.75">
      <c r="A310" s="3">
        <v>1</v>
      </c>
      <c r="B310" s="2">
        <f t="shared" si="18"/>
        <v>12</v>
      </c>
      <c r="C310" s="3">
        <v>47</v>
      </c>
      <c r="D310" s="3" t="s">
        <v>86</v>
      </c>
      <c r="G310" s="3">
        <v>2000</v>
      </c>
      <c r="P310" s="3">
        <v>1047</v>
      </c>
      <c r="S310" s="3" t="s">
        <v>118</v>
      </c>
      <c r="T310" s="2">
        <v>1000000</v>
      </c>
      <c r="X310" s="3" t="s">
        <v>60</v>
      </c>
      <c r="Y310" s="3" t="s">
        <v>21</v>
      </c>
      <c r="Z310" s="2">
        <f t="shared" si="16"/>
        <v>1</v>
      </c>
      <c r="AA310" s="2">
        <f t="shared" si="17"/>
        <v>0</v>
      </c>
      <c r="AB310" s="2" t="s">
        <v>135</v>
      </c>
    </row>
    <row r="311" spans="1:28" x14ac:dyDescent="0.75">
      <c r="A311" s="3">
        <v>1</v>
      </c>
      <c r="B311" s="2">
        <f t="shared" si="18"/>
        <v>12</v>
      </c>
      <c r="C311" s="3">
        <v>48</v>
      </c>
      <c r="D311" s="3" t="s">
        <v>86</v>
      </c>
      <c r="G311" s="3">
        <v>2000</v>
      </c>
      <c r="P311" s="3">
        <v>1048</v>
      </c>
      <c r="S311" s="3" t="s">
        <v>118</v>
      </c>
      <c r="T311" s="2">
        <v>1000000</v>
      </c>
      <c r="X311" s="3" t="s">
        <v>60</v>
      </c>
      <c r="Y311" s="3" t="s">
        <v>21</v>
      </c>
      <c r="Z311" s="2">
        <f t="shared" si="16"/>
        <v>1</v>
      </c>
      <c r="AA311" s="2">
        <f t="shared" si="17"/>
        <v>0</v>
      </c>
      <c r="AB311" s="2" t="s">
        <v>135</v>
      </c>
    </row>
    <row r="312" spans="1:28" x14ac:dyDescent="0.75">
      <c r="A312" s="3">
        <v>1</v>
      </c>
      <c r="B312" s="2">
        <f t="shared" si="18"/>
        <v>12</v>
      </c>
      <c r="C312" s="3">
        <v>49</v>
      </c>
      <c r="D312" s="3" t="s">
        <v>86</v>
      </c>
      <c r="G312" s="3">
        <v>2000</v>
      </c>
      <c r="P312" s="3">
        <v>1049</v>
      </c>
      <c r="S312" s="3" t="s">
        <v>118</v>
      </c>
      <c r="T312" s="2">
        <v>1000000</v>
      </c>
      <c r="X312" s="3" t="s">
        <v>60</v>
      </c>
      <c r="Y312" s="3" t="s">
        <v>21</v>
      </c>
      <c r="Z312" s="2">
        <f t="shared" ref="Z312:Z375" si="19">IF(T312&gt;0,1,0)+IF(U312&gt;0,1,0)+IF(V312&gt;0,1,0)+IF(W312&gt;0,1,0)</f>
        <v>1</v>
      </c>
      <c r="AA312" s="2">
        <f t="shared" ref="AA312:AA375" si="20">IF(Y312="OK",Z312,0)</f>
        <v>0</v>
      </c>
      <c r="AB312" s="2" t="s">
        <v>135</v>
      </c>
    </row>
    <row r="313" spans="1:28" x14ac:dyDescent="0.75">
      <c r="A313" s="3">
        <v>1</v>
      </c>
      <c r="B313" s="2">
        <f t="shared" ref="B313:B318" si="21">IF(C313=1,B312+1,B312)</f>
        <v>13</v>
      </c>
      <c r="C313" s="3">
        <v>1</v>
      </c>
      <c r="D313" s="3" t="s">
        <v>86</v>
      </c>
      <c r="G313" s="3">
        <v>2000</v>
      </c>
      <c r="P313" s="3">
        <v>1250</v>
      </c>
      <c r="S313" s="3" t="s">
        <v>118</v>
      </c>
      <c r="T313" s="2">
        <v>1000000</v>
      </c>
      <c r="X313" s="3" t="s">
        <v>60</v>
      </c>
      <c r="Y313" s="3" t="s">
        <v>21</v>
      </c>
      <c r="Z313" s="2">
        <f t="shared" si="19"/>
        <v>1</v>
      </c>
      <c r="AA313" s="2">
        <f t="shared" si="20"/>
        <v>0</v>
      </c>
      <c r="AB313" s="2" t="s">
        <v>135</v>
      </c>
    </row>
    <row r="314" spans="1:28" x14ac:dyDescent="0.75">
      <c r="A314" s="3">
        <v>1</v>
      </c>
      <c r="B314" s="2">
        <f t="shared" si="21"/>
        <v>13</v>
      </c>
      <c r="C314" s="3">
        <v>2</v>
      </c>
      <c r="D314" s="3" t="s">
        <v>86</v>
      </c>
      <c r="G314" s="3">
        <v>2000</v>
      </c>
      <c r="P314" s="3">
        <v>2000</v>
      </c>
      <c r="S314" s="3" t="s">
        <v>118</v>
      </c>
      <c r="T314" s="2">
        <v>1000000</v>
      </c>
      <c r="X314" s="3" t="s">
        <v>60</v>
      </c>
      <c r="Y314" s="3" t="s">
        <v>21</v>
      </c>
      <c r="Z314" s="2">
        <f t="shared" si="19"/>
        <v>1</v>
      </c>
      <c r="AA314" s="2">
        <f t="shared" si="20"/>
        <v>0</v>
      </c>
      <c r="AB314" s="2" t="s">
        <v>135</v>
      </c>
    </row>
    <row r="315" spans="1:28" x14ac:dyDescent="0.75">
      <c r="A315" s="3">
        <v>1</v>
      </c>
      <c r="B315" s="2">
        <f t="shared" si="21"/>
        <v>13</v>
      </c>
      <c r="C315" s="3">
        <v>3</v>
      </c>
      <c r="D315" s="3" t="s">
        <v>86</v>
      </c>
      <c r="G315" s="3">
        <v>2000</v>
      </c>
      <c r="P315" s="3">
        <v>2050</v>
      </c>
      <c r="S315" s="3" t="s">
        <v>118</v>
      </c>
      <c r="T315" s="2">
        <v>1000000</v>
      </c>
      <c r="X315" s="3" t="s">
        <v>60</v>
      </c>
      <c r="Y315" s="3" t="s">
        <v>21</v>
      </c>
      <c r="Z315" s="2">
        <f t="shared" si="19"/>
        <v>1</v>
      </c>
      <c r="AA315" s="2">
        <f t="shared" si="20"/>
        <v>0</v>
      </c>
      <c r="AB315" s="2" t="s">
        <v>135</v>
      </c>
    </row>
    <row r="316" spans="1:28" x14ac:dyDescent="0.75">
      <c r="A316" s="3">
        <v>1</v>
      </c>
      <c r="B316" s="2">
        <f t="shared" si="21"/>
        <v>13</v>
      </c>
      <c r="C316" s="3">
        <v>4</v>
      </c>
      <c r="D316" s="3" t="s">
        <v>86</v>
      </c>
      <c r="G316" s="3">
        <v>2000</v>
      </c>
      <c r="P316" s="3">
        <v>3000</v>
      </c>
      <c r="S316" s="3" t="s">
        <v>118</v>
      </c>
      <c r="T316" s="2">
        <v>1000000</v>
      </c>
      <c r="X316" s="3" t="s">
        <v>60</v>
      </c>
      <c r="Y316" s="3" t="s">
        <v>21</v>
      </c>
      <c r="Z316" s="2">
        <f t="shared" si="19"/>
        <v>1</v>
      </c>
      <c r="AA316" s="2">
        <f t="shared" si="20"/>
        <v>0</v>
      </c>
      <c r="AB316" s="2" t="s">
        <v>135</v>
      </c>
    </row>
    <row r="317" spans="1:28" x14ac:dyDescent="0.75">
      <c r="A317" s="3">
        <v>1</v>
      </c>
      <c r="B317" s="2">
        <f t="shared" si="21"/>
        <v>14</v>
      </c>
      <c r="C317" s="3">
        <v>1</v>
      </c>
      <c r="D317" s="3" t="s">
        <v>86</v>
      </c>
      <c r="G317" s="3">
        <v>2000</v>
      </c>
      <c r="P317" s="3">
        <v>1100</v>
      </c>
      <c r="Q317">
        <v>5850</v>
      </c>
      <c r="S317" s="3" t="s">
        <v>118</v>
      </c>
      <c r="W317" s="2">
        <v>1000000</v>
      </c>
      <c r="X317" s="3" t="s">
        <v>60</v>
      </c>
      <c r="Y317" s="3" t="s">
        <v>19</v>
      </c>
      <c r="Z317" s="2">
        <f t="shared" si="19"/>
        <v>1</v>
      </c>
      <c r="AA317" s="2">
        <f t="shared" si="20"/>
        <v>1</v>
      </c>
      <c r="AB317" s="2">
        <v>233</v>
      </c>
    </row>
    <row r="318" spans="1:28" x14ac:dyDescent="0.75">
      <c r="A318" s="3">
        <v>1</v>
      </c>
      <c r="B318" s="2">
        <f t="shared" si="21"/>
        <v>14</v>
      </c>
      <c r="C318" s="3">
        <v>2</v>
      </c>
      <c r="D318" s="3" t="s">
        <v>86</v>
      </c>
      <c r="G318" s="3">
        <v>2000</v>
      </c>
      <c r="P318" s="3">
        <v>1100</v>
      </c>
      <c r="Q318" s="2">
        <v>5851</v>
      </c>
      <c r="S318" s="3" t="s">
        <v>118</v>
      </c>
      <c r="W318" s="2">
        <v>1000000</v>
      </c>
      <c r="X318" s="3" t="s">
        <v>60</v>
      </c>
      <c r="Y318" s="3" t="s">
        <v>19</v>
      </c>
      <c r="Z318" s="2">
        <f t="shared" si="19"/>
        <v>1</v>
      </c>
      <c r="AA318" s="2">
        <f t="shared" si="20"/>
        <v>1</v>
      </c>
      <c r="AB318" s="2">
        <v>234</v>
      </c>
    </row>
    <row r="319" spans="1:28" x14ac:dyDescent="0.75">
      <c r="A319" s="3">
        <v>1</v>
      </c>
      <c r="B319" s="2">
        <f t="shared" ref="B319:B382" si="22">IF(C319=1,B318+1,B318)</f>
        <v>14</v>
      </c>
      <c r="C319" s="3">
        <v>3</v>
      </c>
      <c r="D319" s="3" t="s">
        <v>86</v>
      </c>
      <c r="G319" s="3">
        <v>2000</v>
      </c>
      <c r="P319" s="3">
        <v>1100</v>
      </c>
      <c r="Q319">
        <v>5852</v>
      </c>
      <c r="S319" s="3" t="s">
        <v>118</v>
      </c>
      <c r="W319" s="2">
        <v>1000000</v>
      </c>
      <c r="X319" s="3" t="s">
        <v>60</v>
      </c>
      <c r="Y319" s="3" t="s">
        <v>19</v>
      </c>
      <c r="Z319" s="2">
        <f t="shared" si="19"/>
        <v>1</v>
      </c>
      <c r="AA319" s="2">
        <f t="shared" si="20"/>
        <v>1</v>
      </c>
      <c r="AB319" s="2">
        <v>235</v>
      </c>
    </row>
    <row r="320" spans="1:28" x14ac:dyDescent="0.75">
      <c r="A320" s="3">
        <v>1</v>
      </c>
      <c r="B320" s="2">
        <f t="shared" si="22"/>
        <v>14</v>
      </c>
      <c r="C320" s="3">
        <v>4</v>
      </c>
      <c r="D320" s="3" t="s">
        <v>86</v>
      </c>
      <c r="G320" s="3">
        <v>2000</v>
      </c>
      <c r="P320" s="3">
        <v>1100</v>
      </c>
      <c r="Q320" s="2">
        <v>5853</v>
      </c>
      <c r="S320" s="3" t="s">
        <v>118</v>
      </c>
      <c r="W320" s="2">
        <v>1000000</v>
      </c>
      <c r="X320" s="3" t="s">
        <v>60</v>
      </c>
      <c r="Y320" s="3" t="s">
        <v>19</v>
      </c>
      <c r="Z320" s="2">
        <f t="shared" si="19"/>
        <v>1</v>
      </c>
      <c r="AA320" s="2">
        <f t="shared" si="20"/>
        <v>1</v>
      </c>
      <c r="AB320" s="2">
        <v>236</v>
      </c>
    </row>
    <row r="321" spans="1:28" x14ac:dyDescent="0.75">
      <c r="A321" s="3">
        <v>1</v>
      </c>
      <c r="B321" s="2">
        <f t="shared" si="22"/>
        <v>14</v>
      </c>
      <c r="C321" s="3">
        <v>5</v>
      </c>
      <c r="D321" s="3" t="s">
        <v>86</v>
      </c>
      <c r="G321" s="3">
        <v>2000</v>
      </c>
      <c r="P321" s="3">
        <v>1100</v>
      </c>
      <c r="Q321">
        <v>5854</v>
      </c>
      <c r="S321" s="3" t="s">
        <v>118</v>
      </c>
      <c r="W321" s="2">
        <v>1000000</v>
      </c>
      <c r="X321" s="3" t="s">
        <v>60</v>
      </c>
      <c r="Y321" s="3" t="s">
        <v>19</v>
      </c>
      <c r="Z321" s="2">
        <f t="shared" si="19"/>
        <v>1</v>
      </c>
      <c r="AA321" s="2">
        <f t="shared" si="20"/>
        <v>1</v>
      </c>
      <c r="AB321" s="2">
        <v>237</v>
      </c>
    </row>
    <row r="322" spans="1:28" x14ac:dyDescent="0.75">
      <c r="A322" s="3">
        <v>1</v>
      </c>
      <c r="B322" s="2">
        <f t="shared" si="22"/>
        <v>14</v>
      </c>
      <c r="C322" s="3">
        <v>6</v>
      </c>
      <c r="D322" s="3" t="s">
        <v>86</v>
      </c>
      <c r="G322" s="3">
        <v>2000</v>
      </c>
      <c r="P322" s="3">
        <v>1100</v>
      </c>
      <c r="Q322" s="2">
        <v>5855</v>
      </c>
      <c r="S322" s="3" t="s">
        <v>118</v>
      </c>
      <c r="W322" s="2">
        <v>1000000</v>
      </c>
      <c r="X322" s="3" t="s">
        <v>60</v>
      </c>
      <c r="Y322" s="3" t="s">
        <v>19</v>
      </c>
      <c r="Z322" s="2">
        <f t="shared" si="19"/>
        <v>1</v>
      </c>
      <c r="AA322" s="2">
        <f t="shared" si="20"/>
        <v>1</v>
      </c>
      <c r="AB322" s="2">
        <v>238</v>
      </c>
    </row>
    <row r="323" spans="1:28" x14ac:dyDescent="0.75">
      <c r="A323" s="3">
        <v>1</v>
      </c>
      <c r="B323" s="2">
        <f t="shared" si="22"/>
        <v>14</v>
      </c>
      <c r="C323" s="3">
        <v>7</v>
      </c>
      <c r="D323" s="3" t="s">
        <v>86</v>
      </c>
      <c r="G323" s="3">
        <v>2000</v>
      </c>
      <c r="P323" s="3">
        <v>1100</v>
      </c>
      <c r="Q323">
        <v>5856</v>
      </c>
      <c r="S323" s="3" t="s">
        <v>118</v>
      </c>
      <c r="W323" s="2">
        <v>1000000</v>
      </c>
      <c r="X323" s="3" t="s">
        <v>60</v>
      </c>
      <c r="Y323" s="3" t="s">
        <v>19</v>
      </c>
      <c r="Z323" s="2">
        <f t="shared" si="19"/>
        <v>1</v>
      </c>
      <c r="AA323" s="2">
        <f t="shared" si="20"/>
        <v>1</v>
      </c>
      <c r="AB323" s="2">
        <v>239</v>
      </c>
    </row>
    <row r="324" spans="1:28" x14ac:dyDescent="0.75">
      <c r="A324" s="3">
        <v>1</v>
      </c>
      <c r="B324" s="2">
        <f t="shared" si="22"/>
        <v>14</v>
      </c>
      <c r="C324" s="3">
        <v>8</v>
      </c>
      <c r="D324" s="3" t="s">
        <v>86</v>
      </c>
      <c r="G324" s="3">
        <v>2000</v>
      </c>
      <c r="P324" s="3">
        <v>1100</v>
      </c>
      <c r="Q324" s="2">
        <v>5857</v>
      </c>
      <c r="S324" s="3" t="s">
        <v>118</v>
      </c>
      <c r="W324" s="2">
        <v>1000000</v>
      </c>
      <c r="X324" s="3" t="s">
        <v>60</v>
      </c>
      <c r="Y324" s="3" t="s">
        <v>19</v>
      </c>
      <c r="Z324" s="2">
        <f t="shared" si="19"/>
        <v>1</v>
      </c>
      <c r="AA324" s="2">
        <f t="shared" si="20"/>
        <v>1</v>
      </c>
      <c r="AB324" s="2">
        <v>240</v>
      </c>
    </row>
    <row r="325" spans="1:28" x14ac:dyDescent="0.75">
      <c r="A325" s="3">
        <v>1</v>
      </c>
      <c r="B325" s="2">
        <f t="shared" si="22"/>
        <v>14</v>
      </c>
      <c r="C325" s="3">
        <v>9</v>
      </c>
      <c r="D325" s="3" t="s">
        <v>86</v>
      </c>
      <c r="G325" s="3">
        <v>2000</v>
      </c>
      <c r="P325" s="3">
        <v>1100</v>
      </c>
      <c r="Q325">
        <v>5858</v>
      </c>
      <c r="S325" s="3" t="s">
        <v>118</v>
      </c>
      <c r="W325" s="2">
        <v>1000000</v>
      </c>
      <c r="X325" s="3" t="s">
        <v>60</v>
      </c>
      <c r="Y325" s="3" t="s">
        <v>19</v>
      </c>
      <c r="Z325" s="2">
        <f t="shared" si="19"/>
        <v>1</v>
      </c>
      <c r="AA325" s="2">
        <f t="shared" si="20"/>
        <v>1</v>
      </c>
      <c r="AB325" s="2">
        <v>241</v>
      </c>
    </row>
    <row r="326" spans="1:28" x14ac:dyDescent="0.75">
      <c r="A326" s="3">
        <v>1</v>
      </c>
      <c r="B326" s="2">
        <f t="shared" si="22"/>
        <v>14</v>
      </c>
      <c r="C326" s="3">
        <v>10</v>
      </c>
      <c r="D326" s="3" t="s">
        <v>86</v>
      </c>
      <c r="G326" s="3">
        <v>2000</v>
      </c>
      <c r="P326" s="3">
        <v>1100</v>
      </c>
      <c r="Q326" s="2">
        <v>5859</v>
      </c>
      <c r="S326" s="3" t="s">
        <v>118</v>
      </c>
      <c r="W326" s="2">
        <v>1000000</v>
      </c>
      <c r="X326" s="3" t="s">
        <v>60</v>
      </c>
      <c r="Y326" s="3" t="s">
        <v>19</v>
      </c>
      <c r="Z326" s="2">
        <f t="shared" si="19"/>
        <v>1</v>
      </c>
      <c r="AA326" s="2">
        <f t="shared" si="20"/>
        <v>1</v>
      </c>
      <c r="AB326" s="2">
        <v>242</v>
      </c>
    </row>
    <row r="327" spans="1:28" x14ac:dyDescent="0.75">
      <c r="A327" s="3">
        <v>1</v>
      </c>
      <c r="B327" s="2">
        <f t="shared" si="22"/>
        <v>14</v>
      </c>
      <c r="C327" s="3">
        <v>11</v>
      </c>
      <c r="D327" s="3" t="s">
        <v>86</v>
      </c>
      <c r="G327" s="3">
        <v>2000</v>
      </c>
      <c r="P327" s="3">
        <v>1100</v>
      </c>
      <c r="Q327">
        <v>5860</v>
      </c>
      <c r="S327" s="3" t="s">
        <v>118</v>
      </c>
      <c r="W327" s="2">
        <v>1000000</v>
      </c>
      <c r="X327" s="3" t="s">
        <v>60</v>
      </c>
      <c r="Y327" s="3" t="s">
        <v>19</v>
      </c>
      <c r="Z327" s="2">
        <f t="shared" si="19"/>
        <v>1</v>
      </c>
      <c r="AA327" s="2">
        <f t="shared" si="20"/>
        <v>1</v>
      </c>
      <c r="AB327" s="2">
        <v>243</v>
      </c>
    </row>
    <row r="328" spans="1:28" x14ac:dyDescent="0.75">
      <c r="A328" s="3">
        <v>1</v>
      </c>
      <c r="B328" s="2">
        <f t="shared" si="22"/>
        <v>14</v>
      </c>
      <c r="C328" s="3">
        <v>12</v>
      </c>
      <c r="D328" s="3" t="s">
        <v>86</v>
      </c>
      <c r="G328" s="3">
        <v>2000</v>
      </c>
      <c r="P328" s="3">
        <v>1100</v>
      </c>
      <c r="Q328" s="2">
        <v>5861</v>
      </c>
      <c r="S328" s="3" t="s">
        <v>118</v>
      </c>
      <c r="W328" s="2">
        <v>1000000</v>
      </c>
      <c r="X328" s="3" t="s">
        <v>60</v>
      </c>
      <c r="Y328" s="3" t="s">
        <v>19</v>
      </c>
      <c r="Z328" s="2">
        <f t="shared" si="19"/>
        <v>1</v>
      </c>
      <c r="AA328" s="2">
        <f t="shared" si="20"/>
        <v>1</v>
      </c>
      <c r="AB328" s="2">
        <v>244</v>
      </c>
    </row>
    <row r="329" spans="1:28" x14ac:dyDescent="0.75">
      <c r="A329" s="3">
        <v>1</v>
      </c>
      <c r="B329" s="2">
        <f t="shared" si="22"/>
        <v>14</v>
      </c>
      <c r="C329" s="3">
        <v>13</v>
      </c>
      <c r="D329" s="3" t="s">
        <v>86</v>
      </c>
      <c r="G329" s="3">
        <v>2000</v>
      </c>
      <c r="P329" s="3">
        <v>1100</v>
      </c>
      <c r="Q329">
        <v>5862</v>
      </c>
      <c r="S329" s="3" t="s">
        <v>118</v>
      </c>
      <c r="W329" s="2">
        <v>1000000</v>
      </c>
      <c r="X329" s="3" t="s">
        <v>60</v>
      </c>
      <c r="Y329" s="3" t="s">
        <v>19</v>
      </c>
      <c r="Z329" s="2">
        <f t="shared" si="19"/>
        <v>1</v>
      </c>
      <c r="AA329" s="2">
        <f t="shared" si="20"/>
        <v>1</v>
      </c>
      <c r="AB329" s="2">
        <v>245</v>
      </c>
    </row>
    <row r="330" spans="1:28" x14ac:dyDescent="0.75">
      <c r="A330" s="3">
        <v>1</v>
      </c>
      <c r="B330" s="2">
        <f t="shared" si="22"/>
        <v>14</v>
      </c>
      <c r="C330" s="3">
        <v>14</v>
      </c>
      <c r="D330" s="3" t="s">
        <v>86</v>
      </c>
      <c r="G330" s="3">
        <v>2000</v>
      </c>
      <c r="P330" s="3">
        <v>1100</v>
      </c>
      <c r="Q330" s="2">
        <v>5863</v>
      </c>
      <c r="S330" s="3" t="s">
        <v>118</v>
      </c>
      <c r="W330" s="2">
        <v>1000000</v>
      </c>
      <c r="X330" s="3" t="s">
        <v>60</v>
      </c>
      <c r="Y330" s="3" t="s">
        <v>19</v>
      </c>
      <c r="Z330" s="2">
        <f t="shared" si="19"/>
        <v>1</v>
      </c>
      <c r="AA330" s="2">
        <f t="shared" si="20"/>
        <v>1</v>
      </c>
      <c r="AB330" s="2">
        <v>246</v>
      </c>
    </row>
    <row r="331" spans="1:28" x14ac:dyDescent="0.75">
      <c r="A331" s="3">
        <v>1</v>
      </c>
      <c r="B331" s="2">
        <f t="shared" si="22"/>
        <v>14</v>
      </c>
      <c r="C331" s="3">
        <v>15</v>
      </c>
      <c r="D331" s="3" t="s">
        <v>86</v>
      </c>
      <c r="G331" s="3">
        <v>2000</v>
      </c>
      <c r="P331" s="3">
        <v>1100</v>
      </c>
      <c r="Q331">
        <v>5864</v>
      </c>
      <c r="S331" s="3" t="s">
        <v>118</v>
      </c>
      <c r="W331" s="2">
        <v>1000000</v>
      </c>
      <c r="X331" s="3" t="s">
        <v>60</v>
      </c>
      <c r="Y331" s="3" t="s">
        <v>19</v>
      </c>
      <c r="Z331" s="2">
        <f t="shared" si="19"/>
        <v>1</v>
      </c>
      <c r="AA331" s="2">
        <f t="shared" si="20"/>
        <v>1</v>
      </c>
      <c r="AB331" s="2">
        <v>247</v>
      </c>
    </row>
    <row r="332" spans="1:28" x14ac:dyDescent="0.75">
      <c r="A332" s="3">
        <v>1</v>
      </c>
      <c r="B332" s="2">
        <f t="shared" si="22"/>
        <v>14</v>
      </c>
      <c r="C332" s="3">
        <v>16</v>
      </c>
      <c r="D332" s="3" t="s">
        <v>86</v>
      </c>
      <c r="G332" s="3">
        <v>2000</v>
      </c>
      <c r="P332" s="3">
        <v>1100</v>
      </c>
      <c r="Q332" s="2">
        <v>5865</v>
      </c>
      <c r="S332" s="3" t="s">
        <v>118</v>
      </c>
      <c r="W332" s="2">
        <v>1000000</v>
      </c>
      <c r="X332" s="3" t="s">
        <v>60</v>
      </c>
      <c r="Y332" s="3" t="s">
        <v>19</v>
      </c>
      <c r="Z332" s="2">
        <f t="shared" si="19"/>
        <v>1</v>
      </c>
      <c r="AA332" s="2">
        <f t="shared" si="20"/>
        <v>1</v>
      </c>
      <c r="AB332" s="2">
        <v>248</v>
      </c>
    </row>
    <row r="333" spans="1:28" x14ac:dyDescent="0.75">
      <c r="A333" s="3">
        <v>1</v>
      </c>
      <c r="B333" s="2">
        <f t="shared" si="22"/>
        <v>14</v>
      </c>
      <c r="C333" s="3">
        <v>17</v>
      </c>
      <c r="D333" s="3" t="s">
        <v>86</v>
      </c>
      <c r="G333" s="3">
        <v>2000</v>
      </c>
      <c r="P333" s="3">
        <v>1100</v>
      </c>
      <c r="Q333">
        <v>5866</v>
      </c>
      <c r="S333" s="3" t="s">
        <v>118</v>
      </c>
      <c r="W333" s="2">
        <v>1000000</v>
      </c>
      <c r="X333" s="3" t="s">
        <v>60</v>
      </c>
      <c r="Y333" s="3" t="s">
        <v>19</v>
      </c>
      <c r="Z333" s="2">
        <f t="shared" si="19"/>
        <v>1</v>
      </c>
      <c r="AA333" s="2">
        <f t="shared" si="20"/>
        <v>1</v>
      </c>
      <c r="AB333" s="2">
        <v>249</v>
      </c>
    </row>
    <row r="334" spans="1:28" x14ac:dyDescent="0.75">
      <c r="A334" s="3">
        <v>1</v>
      </c>
      <c r="B334" s="2">
        <f t="shared" si="22"/>
        <v>14</v>
      </c>
      <c r="C334" s="3">
        <v>18</v>
      </c>
      <c r="D334" s="3" t="s">
        <v>86</v>
      </c>
      <c r="G334" s="3">
        <v>2000</v>
      </c>
      <c r="P334" s="3">
        <v>1100</v>
      </c>
      <c r="Q334" s="2">
        <v>5867</v>
      </c>
      <c r="S334" s="3" t="s">
        <v>118</v>
      </c>
      <c r="W334" s="2">
        <v>1000000</v>
      </c>
      <c r="X334" s="3" t="s">
        <v>60</v>
      </c>
      <c r="Y334" s="3" t="s">
        <v>19</v>
      </c>
      <c r="Z334" s="2">
        <f t="shared" si="19"/>
        <v>1</v>
      </c>
      <c r="AA334" s="2">
        <f t="shared" si="20"/>
        <v>1</v>
      </c>
      <c r="AB334" s="2">
        <v>250</v>
      </c>
    </row>
    <row r="335" spans="1:28" x14ac:dyDescent="0.75">
      <c r="A335" s="3">
        <v>1</v>
      </c>
      <c r="B335" s="2">
        <f t="shared" si="22"/>
        <v>14</v>
      </c>
      <c r="C335" s="3">
        <v>19</v>
      </c>
      <c r="D335" s="3" t="s">
        <v>86</v>
      </c>
      <c r="G335" s="3">
        <v>2000</v>
      </c>
      <c r="P335" s="3">
        <v>1100</v>
      </c>
      <c r="Q335">
        <v>5868</v>
      </c>
      <c r="S335" s="3" t="s">
        <v>118</v>
      </c>
      <c r="W335" s="2">
        <v>1000000</v>
      </c>
      <c r="X335" s="3" t="s">
        <v>60</v>
      </c>
      <c r="Y335" s="3" t="s">
        <v>19</v>
      </c>
      <c r="Z335" s="2">
        <f t="shared" si="19"/>
        <v>1</v>
      </c>
      <c r="AA335" s="2">
        <f t="shared" si="20"/>
        <v>1</v>
      </c>
      <c r="AB335" s="2">
        <v>251</v>
      </c>
    </row>
    <row r="336" spans="1:28" x14ac:dyDescent="0.75">
      <c r="A336" s="3">
        <v>1</v>
      </c>
      <c r="B336" s="2">
        <f t="shared" si="22"/>
        <v>14</v>
      </c>
      <c r="C336" s="3">
        <v>20</v>
      </c>
      <c r="D336" s="3" t="s">
        <v>86</v>
      </c>
      <c r="G336" s="3">
        <v>2000</v>
      </c>
      <c r="P336" s="3">
        <v>1100</v>
      </c>
      <c r="Q336" s="2">
        <v>5869</v>
      </c>
      <c r="S336" s="3" t="s">
        <v>118</v>
      </c>
      <c r="W336" s="2">
        <v>1000000</v>
      </c>
      <c r="X336" s="3" t="s">
        <v>60</v>
      </c>
      <c r="Y336" s="3" t="s">
        <v>19</v>
      </c>
      <c r="Z336" s="2">
        <f t="shared" si="19"/>
        <v>1</v>
      </c>
      <c r="AA336" s="2">
        <f t="shared" si="20"/>
        <v>1</v>
      </c>
      <c r="AB336" s="2">
        <v>252</v>
      </c>
    </row>
    <row r="337" spans="1:28" x14ac:dyDescent="0.75">
      <c r="A337" s="3">
        <v>1</v>
      </c>
      <c r="B337" s="2">
        <f t="shared" si="22"/>
        <v>14</v>
      </c>
      <c r="C337" s="3">
        <v>21</v>
      </c>
      <c r="D337" s="3" t="s">
        <v>86</v>
      </c>
      <c r="G337" s="3">
        <v>2000</v>
      </c>
      <c r="P337" s="3">
        <v>1100</v>
      </c>
      <c r="Q337">
        <v>5870</v>
      </c>
      <c r="S337" s="3" t="s">
        <v>118</v>
      </c>
      <c r="W337" s="2">
        <v>1000000</v>
      </c>
      <c r="X337" s="3" t="s">
        <v>60</v>
      </c>
      <c r="Y337" s="3" t="s">
        <v>19</v>
      </c>
      <c r="Z337" s="2">
        <f t="shared" si="19"/>
        <v>1</v>
      </c>
      <c r="AA337" s="2">
        <f t="shared" si="20"/>
        <v>1</v>
      </c>
      <c r="AB337" s="2">
        <v>253</v>
      </c>
    </row>
    <row r="338" spans="1:28" x14ac:dyDescent="0.75">
      <c r="A338" s="3">
        <v>1</v>
      </c>
      <c r="B338" s="2">
        <f t="shared" si="22"/>
        <v>14</v>
      </c>
      <c r="C338" s="3">
        <v>22</v>
      </c>
      <c r="D338" s="3" t="s">
        <v>86</v>
      </c>
      <c r="G338" s="3">
        <v>2000</v>
      </c>
      <c r="P338" s="3">
        <v>1100</v>
      </c>
      <c r="Q338" s="2">
        <v>5871</v>
      </c>
      <c r="S338" s="3" t="s">
        <v>118</v>
      </c>
      <c r="W338" s="2">
        <v>1000000</v>
      </c>
      <c r="X338" s="3" t="s">
        <v>60</v>
      </c>
      <c r="Y338" s="3" t="s">
        <v>19</v>
      </c>
      <c r="Z338" s="2">
        <f t="shared" si="19"/>
        <v>1</v>
      </c>
      <c r="AA338" s="2">
        <f t="shared" si="20"/>
        <v>1</v>
      </c>
      <c r="AB338" s="2">
        <v>254</v>
      </c>
    </row>
    <row r="339" spans="1:28" x14ac:dyDescent="0.75">
      <c r="A339" s="3">
        <v>1</v>
      </c>
      <c r="B339" s="2">
        <f t="shared" si="22"/>
        <v>14</v>
      </c>
      <c r="C339" s="3">
        <v>23</v>
      </c>
      <c r="D339" s="3" t="s">
        <v>86</v>
      </c>
      <c r="G339" s="3">
        <v>2000</v>
      </c>
      <c r="P339" s="3">
        <v>1100</v>
      </c>
      <c r="Q339">
        <v>5872</v>
      </c>
      <c r="S339" s="3" t="s">
        <v>118</v>
      </c>
      <c r="W339" s="2">
        <v>1000000</v>
      </c>
      <c r="X339" s="3" t="s">
        <v>60</v>
      </c>
      <c r="Y339" s="3" t="s">
        <v>19</v>
      </c>
      <c r="Z339" s="2">
        <f t="shared" si="19"/>
        <v>1</v>
      </c>
      <c r="AA339" s="2">
        <f t="shared" si="20"/>
        <v>1</v>
      </c>
      <c r="AB339" s="2">
        <v>255</v>
      </c>
    </row>
    <row r="340" spans="1:28" x14ac:dyDescent="0.75">
      <c r="A340" s="3">
        <v>1</v>
      </c>
      <c r="B340" s="2">
        <f t="shared" si="22"/>
        <v>14</v>
      </c>
      <c r="C340" s="3">
        <v>24</v>
      </c>
      <c r="D340" s="3" t="s">
        <v>86</v>
      </c>
      <c r="G340" s="3">
        <v>2000</v>
      </c>
      <c r="P340" s="3">
        <v>1100</v>
      </c>
      <c r="Q340" s="2">
        <v>5873</v>
      </c>
      <c r="S340" s="3" t="s">
        <v>118</v>
      </c>
      <c r="W340" s="2">
        <v>1000000</v>
      </c>
      <c r="X340" s="3" t="s">
        <v>60</v>
      </c>
      <c r="Y340" s="3" t="s">
        <v>19</v>
      </c>
      <c r="Z340" s="2">
        <f t="shared" si="19"/>
        <v>1</v>
      </c>
      <c r="AA340" s="2">
        <f t="shared" si="20"/>
        <v>1</v>
      </c>
      <c r="AB340" s="2">
        <v>256</v>
      </c>
    </row>
    <row r="341" spans="1:28" x14ac:dyDescent="0.75">
      <c r="A341" s="3">
        <v>1</v>
      </c>
      <c r="B341" s="2">
        <f t="shared" si="22"/>
        <v>14</v>
      </c>
      <c r="C341" s="3">
        <v>25</v>
      </c>
      <c r="D341" s="3" t="s">
        <v>86</v>
      </c>
      <c r="G341" s="3">
        <v>2000</v>
      </c>
      <c r="P341" s="3">
        <v>1100</v>
      </c>
      <c r="Q341">
        <v>5874</v>
      </c>
      <c r="S341" s="3" t="s">
        <v>118</v>
      </c>
      <c r="W341" s="2">
        <v>1000000</v>
      </c>
      <c r="X341" s="3" t="s">
        <v>60</v>
      </c>
      <c r="Y341" s="3" t="s">
        <v>19</v>
      </c>
      <c r="Z341" s="2">
        <f t="shared" si="19"/>
        <v>1</v>
      </c>
      <c r="AA341" s="2">
        <f t="shared" si="20"/>
        <v>1</v>
      </c>
      <c r="AB341" s="2">
        <v>257</v>
      </c>
    </row>
    <row r="342" spans="1:28" x14ac:dyDescent="0.75">
      <c r="A342" s="3">
        <v>1</v>
      </c>
      <c r="B342" s="2">
        <f t="shared" si="22"/>
        <v>14</v>
      </c>
      <c r="C342" s="3">
        <v>26</v>
      </c>
      <c r="D342" s="3" t="s">
        <v>86</v>
      </c>
      <c r="G342" s="3">
        <v>2000</v>
      </c>
      <c r="P342" s="3">
        <v>1100</v>
      </c>
      <c r="Q342" s="2">
        <v>5875</v>
      </c>
      <c r="S342" s="3" t="s">
        <v>118</v>
      </c>
      <c r="W342" s="2">
        <v>1000000</v>
      </c>
      <c r="X342" s="3" t="s">
        <v>60</v>
      </c>
      <c r="Y342" s="3" t="s">
        <v>19</v>
      </c>
      <c r="Z342" s="2">
        <f t="shared" si="19"/>
        <v>1</v>
      </c>
      <c r="AA342" s="2">
        <f t="shared" si="20"/>
        <v>1</v>
      </c>
      <c r="AB342" s="2">
        <v>258</v>
      </c>
    </row>
    <row r="343" spans="1:28" x14ac:dyDescent="0.75">
      <c r="A343" s="3">
        <v>1</v>
      </c>
      <c r="B343" s="2">
        <f t="shared" si="22"/>
        <v>14</v>
      </c>
      <c r="C343" s="3">
        <v>27</v>
      </c>
      <c r="D343" s="3" t="s">
        <v>86</v>
      </c>
      <c r="G343" s="3">
        <v>2000</v>
      </c>
      <c r="P343" s="3">
        <v>1100</v>
      </c>
      <c r="Q343">
        <v>5876</v>
      </c>
      <c r="S343" s="3" t="s">
        <v>118</v>
      </c>
      <c r="W343" s="2">
        <v>1000000</v>
      </c>
      <c r="X343" s="3" t="s">
        <v>60</v>
      </c>
      <c r="Y343" s="3" t="s">
        <v>19</v>
      </c>
      <c r="Z343" s="2">
        <f t="shared" si="19"/>
        <v>1</v>
      </c>
      <c r="AA343" s="2">
        <f t="shared" si="20"/>
        <v>1</v>
      </c>
      <c r="AB343" s="2">
        <v>259</v>
      </c>
    </row>
    <row r="344" spans="1:28" x14ac:dyDescent="0.75">
      <c r="A344" s="3">
        <v>1</v>
      </c>
      <c r="B344" s="2">
        <f t="shared" si="22"/>
        <v>14</v>
      </c>
      <c r="C344" s="3">
        <v>28</v>
      </c>
      <c r="D344" s="3" t="s">
        <v>86</v>
      </c>
      <c r="G344" s="3">
        <v>2000</v>
      </c>
      <c r="P344" s="3">
        <v>1100</v>
      </c>
      <c r="Q344" s="2">
        <v>5877</v>
      </c>
      <c r="S344" s="3" t="s">
        <v>118</v>
      </c>
      <c r="W344" s="2">
        <v>1000000</v>
      </c>
      <c r="X344" s="3" t="s">
        <v>60</v>
      </c>
      <c r="Y344" s="3" t="s">
        <v>19</v>
      </c>
      <c r="Z344" s="2">
        <f t="shared" si="19"/>
        <v>1</v>
      </c>
      <c r="AA344" s="2">
        <f t="shared" si="20"/>
        <v>1</v>
      </c>
      <c r="AB344" s="2">
        <v>260</v>
      </c>
    </row>
    <row r="345" spans="1:28" x14ac:dyDescent="0.75">
      <c r="A345" s="3">
        <v>1</v>
      </c>
      <c r="B345" s="2">
        <f t="shared" si="22"/>
        <v>14</v>
      </c>
      <c r="C345" s="3">
        <v>29</v>
      </c>
      <c r="D345" s="3" t="s">
        <v>86</v>
      </c>
      <c r="G345" s="3">
        <v>2000</v>
      </c>
      <c r="P345" s="3">
        <v>1100</v>
      </c>
      <c r="Q345">
        <v>5878</v>
      </c>
      <c r="S345" s="3" t="s">
        <v>118</v>
      </c>
      <c r="W345" s="2">
        <v>1000000</v>
      </c>
      <c r="X345" s="3" t="s">
        <v>60</v>
      </c>
      <c r="Y345" s="3" t="s">
        <v>19</v>
      </c>
      <c r="Z345" s="2">
        <f t="shared" si="19"/>
        <v>1</v>
      </c>
      <c r="AA345" s="2">
        <f t="shared" si="20"/>
        <v>1</v>
      </c>
      <c r="AB345" s="2">
        <v>261</v>
      </c>
    </row>
    <row r="346" spans="1:28" x14ac:dyDescent="0.75">
      <c r="A346" s="3">
        <v>1</v>
      </c>
      <c r="B346" s="2">
        <f t="shared" si="22"/>
        <v>14</v>
      </c>
      <c r="C346" s="3">
        <v>30</v>
      </c>
      <c r="D346" s="3" t="s">
        <v>86</v>
      </c>
      <c r="G346" s="3">
        <v>2000</v>
      </c>
      <c r="P346" s="3">
        <v>1100</v>
      </c>
      <c r="Q346" s="2">
        <v>5879</v>
      </c>
      <c r="S346" s="3" t="s">
        <v>118</v>
      </c>
      <c r="W346" s="2">
        <v>1000000</v>
      </c>
      <c r="X346" s="3" t="s">
        <v>60</v>
      </c>
      <c r="Y346" s="3" t="s">
        <v>19</v>
      </c>
      <c r="Z346" s="2">
        <f t="shared" si="19"/>
        <v>1</v>
      </c>
      <c r="AA346" s="2">
        <f t="shared" si="20"/>
        <v>1</v>
      </c>
      <c r="AB346" s="2">
        <v>262</v>
      </c>
    </row>
    <row r="347" spans="1:28" x14ac:dyDescent="0.75">
      <c r="A347" s="3">
        <v>1</v>
      </c>
      <c r="B347" s="2">
        <f t="shared" si="22"/>
        <v>14</v>
      </c>
      <c r="C347" s="3">
        <v>31</v>
      </c>
      <c r="D347" s="3" t="s">
        <v>86</v>
      </c>
      <c r="G347" s="3">
        <v>2000</v>
      </c>
      <c r="P347" s="3">
        <v>1100</v>
      </c>
      <c r="Q347">
        <v>5880</v>
      </c>
      <c r="S347" s="3" t="s">
        <v>118</v>
      </c>
      <c r="W347" s="2">
        <v>1000000</v>
      </c>
      <c r="X347" s="3" t="s">
        <v>60</v>
      </c>
      <c r="Y347" s="3" t="s">
        <v>19</v>
      </c>
      <c r="Z347" s="2">
        <f t="shared" si="19"/>
        <v>1</v>
      </c>
      <c r="AA347" s="2">
        <f t="shared" si="20"/>
        <v>1</v>
      </c>
      <c r="AB347" s="2">
        <v>263</v>
      </c>
    </row>
    <row r="348" spans="1:28" x14ac:dyDescent="0.75">
      <c r="A348" s="3">
        <v>1</v>
      </c>
      <c r="B348" s="2">
        <f t="shared" si="22"/>
        <v>14</v>
      </c>
      <c r="C348" s="3">
        <v>32</v>
      </c>
      <c r="D348" s="3" t="s">
        <v>86</v>
      </c>
      <c r="G348" s="3">
        <v>2000</v>
      </c>
      <c r="P348" s="3">
        <v>1100</v>
      </c>
      <c r="Q348" s="2">
        <v>5881</v>
      </c>
      <c r="S348" s="3" t="s">
        <v>118</v>
      </c>
      <c r="W348" s="2">
        <v>1000000</v>
      </c>
      <c r="X348" s="3" t="s">
        <v>60</v>
      </c>
      <c r="Y348" s="3" t="s">
        <v>19</v>
      </c>
      <c r="Z348" s="2">
        <f t="shared" si="19"/>
        <v>1</v>
      </c>
      <c r="AA348" s="2">
        <f t="shared" si="20"/>
        <v>1</v>
      </c>
      <c r="AB348" s="2">
        <v>264</v>
      </c>
    </row>
    <row r="349" spans="1:28" x14ac:dyDescent="0.75">
      <c r="A349" s="3">
        <v>1</v>
      </c>
      <c r="B349" s="2">
        <f t="shared" si="22"/>
        <v>14</v>
      </c>
      <c r="C349" s="3">
        <v>33</v>
      </c>
      <c r="D349" s="3" t="s">
        <v>86</v>
      </c>
      <c r="G349" s="3">
        <v>2000</v>
      </c>
      <c r="P349" s="3">
        <v>1100</v>
      </c>
      <c r="Q349">
        <v>5882</v>
      </c>
      <c r="S349" s="3" t="s">
        <v>118</v>
      </c>
      <c r="W349" s="2">
        <v>1000000</v>
      </c>
      <c r="X349" s="3" t="s">
        <v>60</v>
      </c>
      <c r="Y349" s="3" t="s">
        <v>19</v>
      </c>
      <c r="Z349" s="2">
        <f t="shared" si="19"/>
        <v>1</v>
      </c>
      <c r="AA349" s="2">
        <f t="shared" si="20"/>
        <v>1</v>
      </c>
      <c r="AB349" s="2">
        <v>265</v>
      </c>
    </row>
    <row r="350" spans="1:28" x14ac:dyDescent="0.75">
      <c r="A350" s="3">
        <v>1</v>
      </c>
      <c r="B350" s="2">
        <f t="shared" si="22"/>
        <v>14</v>
      </c>
      <c r="C350" s="3">
        <v>34</v>
      </c>
      <c r="D350" s="3" t="s">
        <v>86</v>
      </c>
      <c r="G350" s="3">
        <v>2000</v>
      </c>
      <c r="P350" s="3">
        <v>1100</v>
      </c>
      <c r="Q350" s="2">
        <v>5883</v>
      </c>
      <c r="S350" s="3" t="s">
        <v>118</v>
      </c>
      <c r="W350" s="2">
        <v>1000000</v>
      </c>
      <c r="X350" s="3" t="s">
        <v>60</v>
      </c>
      <c r="Y350" s="3" t="s">
        <v>19</v>
      </c>
      <c r="Z350" s="2">
        <f t="shared" si="19"/>
        <v>1</v>
      </c>
      <c r="AA350" s="2">
        <f t="shared" si="20"/>
        <v>1</v>
      </c>
      <c r="AB350" s="2">
        <v>266</v>
      </c>
    </row>
    <row r="351" spans="1:28" x14ac:dyDescent="0.75">
      <c r="A351" s="3">
        <v>1</v>
      </c>
      <c r="B351" s="2">
        <f t="shared" si="22"/>
        <v>14</v>
      </c>
      <c r="C351" s="3">
        <v>35</v>
      </c>
      <c r="D351" s="3" t="s">
        <v>86</v>
      </c>
      <c r="G351" s="3">
        <v>2000</v>
      </c>
      <c r="P351" s="3">
        <v>1100</v>
      </c>
      <c r="Q351">
        <v>5884</v>
      </c>
      <c r="S351" s="3" t="s">
        <v>118</v>
      </c>
      <c r="W351" s="2">
        <v>1000000</v>
      </c>
      <c r="X351" s="3" t="s">
        <v>60</v>
      </c>
      <c r="Y351" s="3" t="s">
        <v>19</v>
      </c>
      <c r="Z351" s="2">
        <f t="shared" si="19"/>
        <v>1</v>
      </c>
      <c r="AA351" s="2">
        <f t="shared" si="20"/>
        <v>1</v>
      </c>
      <c r="AB351" s="2">
        <v>267</v>
      </c>
    </row>
    <row r="352" spans="1:28" x14ac:dyDescent="0.75">
      <c r="A352" s="3">
        <v>1</v>
      </c>
      <c r="B352" s="2">
        <f t="shared" si="22"/>
        <v>14</v>
      </c>
      <c r="C352" s="3">
        <v>36</v>
      </c>
      <c r="D352" s="3" t="s">
        <v>86</v>
      </c>
      <c r="G352" s="3">
        <v>2000</v>
      </c>
      <c r="P352" s="3">
        <v>1100</v>
      </c>
      <c r="Q352" s="2">
        <v>5885</v>
      </c>
      <c r="S352" s="3" t="s">
        <v>118</v>
      </c>
      <c r="W352" s="2">
        <v>1000000</v>
      </c>
      <c r="X352" s="3" t="s">
        <v>60</v>
      </c>
      <c r="Y352" s="3" t="s">
        <v>19</v>
      </c>
      <c r="Z352" s="2">
        <f t="shared" si="19"/>
        <v>1</v>
      </c>
      <c r="AA352" s="2">
        <f t="shared" si="20"/>
        <v>1</v>
      </c>
      <c r="AB352" s="2">
        <v>268</v>
      </c>
    </row>
    <row r="353" spans="1:28" x14ac:dyDescent="0.75">
      <c r="A353" s="3">
        <v>1</v>
      </c>
      <c r="B353" s="2">
        <f t="shared" si="22"/>
        <v>14</v>
      </c>
      <c r="C353" s="3">
        <v>37</v>
      </c>
      <c r="D353" s="3" t="s">
        <v>86</v>
      </c>
      <c r="G353" s="3">
        <v>2000</v>
      </c>
      <c r="P353" s="3">
        <v>1100</v>
      </c>
      <c r="Q353">
        <v>5886</v>
      </c>
      <c r="S353" s="3" t="s">
        <v>118</v>
      </c>
      <c r="W353" s="2">
        <v>1000000</v>
      </c>
      <c r="X353" s="3" t="s">
        <v>60</v>
      </c>
      <c r="Y353" s="3" t="s">
        <v>19</v>
      </c>
      <c r="Z353" s="2">
        <f t="shared" si="19"/>
        <v>1</v>
      </c>
      <c r="AA353" s="2">
        <f t="shared" si="20"/>
        <v>1</v>
      </c>
      <c r="AB353" s="2">
        <v>269</v>
      </c>
    </row>
    <row r="354" spans="1:28" x14ac:dyDescent="0.75">
      <c r="A354" s="3">
        <v>1</v>
      </c>
      <c r="B354" s="2">
        <f t="shared" si="22"/>
        <v>14</v>
      </c>
      <c r="C354" s="3">
        <v>38</v>
      </c>
      <c r="D354" s="3" t="s">
        <v>86</v>
      </c>
      <c r="G354" s="3">
        <v>2000</v>
      </c>
      <c r="P354" s="3">
        <v>1100</v>
      </c>
      <c r="Q354" s="2">
        <v>5887</v>
      </c>
      <c r="S354" s="3" t="s">
        <v>118</v>
      </c>
      <c r="W354" s="2">
        <v>1000000</v>
      </c>
      <c r="X354" s="3" t="s">
        <v>60</v>
      </c>
      <c r="Y354" s="3" t="s">
        <v>19</v>
      </c>
      <c r="Z354" s="2">
        <f t="shared" si="19"/>
        <v>1</v>
      </c>
      <c r="AA354" s="2">
        <f t="shared" si="20"/>
        <v>1</v>
      </c>
      <c r="AB354" s="2">
        <v>270</v>
      </c>
    </row>
    <row r="355" spans="1:28" x14ac:dyDescent="0.75">
      <c r="A355" s="3">
        <v>1</v>
      </c>
      <c r="B355" s="2">
        <f t="shared" si="22"/>
        <v>14</v>
      </c>
      <c r="C355" s="3">
        <v>39</v>
      </c>
      <c r="D355" s="3" t="s">
        <v>86</v>
      </c>
      <c r="G355" s="3">
        <v>2000</v>
      </c>
      <c r="P355" s="3">
        <v>1100</v>
      </c>
      <c r="Q355">
        <v>5888</v>
      </c>
      <c r="S355" s="3" t="s">
        <v>118</v>
      </c>
      <c r="W355" s="2">
        <v>1000000</v>
      </c>
      <c r="X355" s="3" t="s">
        <v>60</v>
      </c>
      <c r="Y355" s="3" t="s">
        <v>19</v>
      </c>
      <c r="Z355" s="2">
        <f t="shared" si="19"/>
        <v>1</v>
      </c>
      <c r="AA355" s="2">
        <f t="shared" si="20"/>
        <v>1</v>
      </c>
      <c r="AB355" s="2">
        <v>271</v>
      </c>
    </row>
    <row r="356" spans="1:28" x14ac:dyDescent="0.75">
      <c r="A356" s="3">
        <v>1</v>
      </c>
      <c r="B356" s="2">
        <f t="shared" si="22"/>
        <v>14</v>
      </c>
      <c r="C356" s="3">
        <v>40</v>
      </c>
      <c r="D356" s="3" t="s">
        <v>86</v>
      </c>
      <c r="G356" s="3">
        <v>2000</v>
      </c>
      <c r="P356" s="3">
        <v>1100</v>
      </c>
      <c r="Q356" s="2">
        <v>5889</v>
      </c>
      <c r="S356" s="3" t="s">
        <v>118</v>
      </c>
      <c r="W356" s="2">
        <v>1000000</v>
      </c>
      <c r="X356" s="3" t="s">
        <v>60</v>
      </c>
      <c r="Y356" s="3" t="s">
        <v>19</v>
      </c>
      <c r="Z356" s="2">
        <f t="shared" si="19"/>
        <v>1</v>
      </c>
      <c r="AA356" s="2">
        <f t="shared" si="20"/>
        <v>1</v>
      </c>
      <c r="AB356" s="2">
        <v>272</v>
      </c>
    </row>
    <row r="357" spans="1:28" x14ac:dyDescent="0.75">
      <c r="A357" s="3">
        <v>1</v>
      </c>
      <c r="B357" s="2">
        <f t="shared" si="22"/>
        <v>14</v>
      </c>
      <c r="C357" s="3">
        <v>41</v>
      </c>
      <c r="D357" s="3" t="s">
        <v>86</v>
      </c>
      <c r="G357" s="3">
        <v>2000</v>
      </c>
      <c r="P357" s="3">
        <v>1100</v>
      </c>
      <c r="Q357">
        <v>5890</v>
      </c>
      <c r="S357" s="3" t="s">
        <v>118</v>
      </c>
      <c r="W357" s="2">
        <v>1000000</v>
      </c>
      <c r="X357" s="3" t="s">
        <v>60</v>
      </c>
      <c r="Y357" s="3" t="s">
        <v>19</v>
      </c>
      <c r="Z357" s="2">
        <f t="shared" si="19"/>
        <v>1</v>
      </c>
      <c r="AA357" s="2">
        <f t="shared" si="20"/>
        <v>1</v>
      </c>
      <c r="AB357" s="2">
        <v>273</v>
      </c>
    </row>
    <row r="358" spans="1:28" x14ac:dyDescent="0.75">
      <c r="A358" s="3">
        <v>1</v>
      </c>
      <c r="B358" s="2">
        <f t="shared" si="22"/>
        <v>14</v>
      </c>
      <c r="C358" s="3">
        <v>42</v>
      </c>
      <c r="D358" s="3" t="s">
        <v>86</v>
      </c>
      <c r="G358" s="3">
        <v>2000</v>
      </c>
      <c r="P358" s="3">
        <v>1100</v>
      </c>
      <c r="Q358" s="2">
        <v>5891</v>
      </c>
      <c r="S358" s="3" t="s">
        <v>118</v>
      </c>
      <c r="W358" s="2">
        <v>1000000</v>
      </c>
      <c r="X358" s="3" t="s">
        <v>60</v>
      </c>
      <c r="Y358" s="3" t="s">
        <v>19</v>
      </c>
      <c r="Z358" s="2">
        <f t="shared" si="19"/>
        <v>1</v>
      </c>
      <c r="AA358" s="2">
        <f t="shared" si="20"/>
        <v>1</v>
      </c>
      <c r="AB358" s="2">
        <v>274</v>
      </c>
    </row>
    <row r="359" spans="1:28" x14ac:dyDescent="0.75">
      <c r="A359" s="3">
        <v>1</v>
      </c>
      <c r="B359" s="2">
        <f t="shared" si="22"/>
        <v>14</v>
      </c>
      <c r="C359" s="3">
        <v>43</v>
      </c>
      <c r="D359" s="3" t="s">
        <v>86</v>
      </c>
      <c r="G359" s="3">
        <v>2000</v>
      </c>
      <c r="P359" s="3">
        <v>1100</v>
      </c>
      <c r="Q359">
        <v>5892</v>
      </c>
      <c r="S359" s="3" t="s">
        <v>118</v>
      </c>
      <c r="W359" s="2">
        <v>1000000</v>
      </c>
      <c r="X359" s="3" t="s">
        <v>60</v>
      </c>
      <c r="Y359" s="3" t="s">
        <v>19</v>
      </c>
      <c r="Z359" s="2">
        <f t="shared" si="19"/>
        <v>1</v>
      </c>
      <c r="AA359" s="2">
        <f t="shared" si="20"/>
        <v>1</v>
      </c>
      <c r="AB359" s="2">
        <v>275</v>
      </c>
    </row>
    <row r="360" spans="1:28" x14ac:dyDescent="0.75">
      <c r="A360" s="3">
        <v>1</v>
      </c>
      <c r="B360" s="2">
        <f t="shared" si="22"/>
        <v>14</v>
      </c>
      <c r="C360" s="3">
        <v>44</v>
      </c>
      <c r="D360" s="3" t="s">
        <v>86</v>
      </c>
      <c r="G360" s="3">
        <v>2000</v>
      </c>
      <c r="P360" s="3">
        <v>1100</v>
      </c>
      <c r="Q360" s="2">
        <v>5893</v>
      </c>
      <c r="S360" s="3" t="s">
        <v>118</v>
      </c>
      <c r="W360" s="2">
        <v>1000000</v>
      </c>
      <c r="X360" s="3" t="s">
        <v>60</v>
      </c>
      <c r="Y360" s="3" t="s">
        <v>19</v>
      </c>
      <c r="Z360" s="2">
        <f t="shared" si="19"/>
        <v>1</v>
      </c>
      <c r="AA360" s="2">
        <f t="shared" si="20"/>
        <v>1</v>
      </c>
      <c r="AB360" s="2">
        <v>276</v>
      </c>
    </row>
    <row r="361" spans="1:28" x14ac:dyDescent="0.75">
      <c r="A361" s="3">
        <v>1</v>
      </c>
      <c r="B361" s="2">
        <f t="shared" si="22"/>
        <v>14</v>
      </c>
      <c r="C361" s="3">
        <v>45</v>
      </c>
      <c r="D361" s="3" t="s">
        <v>86</v>
      </c>
      <c r="G361" s="3">
        <v>2000</v>
      </c>
      <c r="P361" s="3">
        <v>1100</v>
      </c>
      <c r="Q361">
        <v>5894</v>
      </c>
      <c r="S361" s="3" t="s">
        <v>118</v>
      </c>
      <c r="W361" s="2">
        <v>1000000</v>
      </c>
      <c r="X361" s="3" t="s">
        <v>60</v>
      </c>
      <c r="Y361" s="3" t="s">
        <v>19</v>
      </c>
      <c r="Z361" s="2">
        <f t="shared" si="19"/>
        <v>1</v>
      </c>
      <c r="AA361" s="2">
        <f t="shared" si="20"/>
        <v>1</v>
      </c>
      <c r="AB361" s="2">
        <v>277</v>
      </c>
    </row>
    <row r="362" spans="1:28" x14ac:dyDescent="0.75">
      <c r="A362" s="3">
        <v>1</v>
      </c>
      <c r="B362" s="2">
        <f t="shared" si="22"/>
        <v>14</v>
      </c>
      <c r="C362" s="3">
        <v>46</v>
      </c>
      <c r="D362" s="3" t="s">
        <v>86</v>
      </c>
      <c r="G362" s="3">
        <v>2000</v>
      </c>
      <c r="P362" s="3">
        <v>1100</v>
      </c>
      <c r="Q362" s="2">
        <v>5895</v>
      </c>
      <c r="S362" s="3" t="s">
        <v>118</v>
      </c>
      <c r="W362" s="2">
        <v>1000000</v>
      </c>
      <c r="X362" s="3" t="s">
        <v>60</v>
      </c>
      <c r="Y362" s="3" t="s">
        <v>19</v>
      </c>
      <c r="Z362" s="2">
        <f t="shared" si="19"/>
        <v>1</v>
      </c>
      <c r="AA362" s="2">
        <f t="shared" si="20"/>
        <v>1</v>
      </c>
      <c r="AB362" s="2">
        <v>278</v>
      </c>
    </row>
    <row r="363" spans="1:28" x14ac:dyDescent="0.75">
      <c r="A363" s="3">
        <v>1</v>
      </c>
      <c r="B363" s="2">
        <f t="shared" si="22"/>
        <v>14</v>
      </c>
      <c r="C363" s="3">
        <v>47</v>
      </c>
      <c r="D363" s="3" t="s">
        <v>86</v>
      </c>
      <c r="G363" s="3">
        <v>2000</v>
      </c>
      <c r="P363" s="3">
        <v>1100</v>
      </c>
      <c r="Q363">
        <v>5896</v>
      </c>
      <c r="S363" s="3" t="s">
        <v>118</v>
      </c>
      <c r="W363" s="2">
        <v>1000000</v>
      </c>
      <c r="X363" s="3" t="s">
        <v>60</v>
      </c>
      <c r="Y363" s="3" t="s">
        <v>19</v>
      </c>
      <c r="Z363" s="2">
        <f t="shared" si="19"/>
        <v>1</v>
      </c>
      <c r="AA363" s="2">
        <f t="shared" si="20"/>
        <v>1</v>
      </c>
      <c r="AB363" s="2">
        <v>279</v>
      </c>
    </row>
    <row r="364" spans="1:28" x14ac:dyDescent="0.75">
      <c r="A364" s="3">
        <v>1</v>
      </c>
      <c r="B364" s="2">
        <f t="shared" si="22"/>
        <v>14</v>
      </c>
      <c r="C364" s="3">
        <v>48</v>
      </c>
      <c r="D364" s="3" t="s">
        <v>86</v>
      </c>
      <c r="G364" s="3">
        <v>2000</v>
      </c>
      <c r="P364" s="3">
        <v>1100</v>
      </c>
      <c r="Q364" s="2">
        <v>5897</v>
      </c>
      <c r="S364" s="3" t="s">
        <v>118</v>
      </c>
      <c r="W364" s="2">
        <v>1000000</v>
      </c>
      <c r="X364" s="3" t="s">
        <v>60</v>
      </c>
      <c r="Y364" s="3" t="s">
        <v>19</v>
      </c>
      <c r="Z364" s="2">
        <f t="shared" si="19"/>
        <v>1</v>
      </c>
      <c r="AA364" s="2">
        <f t="shared" si="20"/>
        <v>1</v>
      </c>
      <c r="AB364" s="2">
        <v>280</v>
      </c>
    </row>
    <row r="365" spans="1:28" x14ac:dyDescent="0.75">
      <c r="A365" s="3">
        <v>1</v>
      </c>
      <c r="B365" s="2">
        <f t="shared" si="22"/>
        <v>14</v>
      </c>
      <c r="C365" s="3">
        <v>49</v>
      </c>
      <c r="D365" s="3" t="s">
        <v>86</v>
      </c>
      <c r="G365" s="3">
        <v>2000</v>
      </c>
      <c r="P365" s="3">
        <v>1100</v>
      </c>
      <c r="Q365">
        <v>5898</v>
      </c>
      <c r="S365" s="3" t="s">
        <v>118</v>
      </c>
      <c r="W365" s="2">
        <v>1000000</v>
      </c>
      <c r="X365" s="3" t="s">
        <v>60</v>
      </c>
      <c r="Y365" s="3" t="s">
        <v>19</v>
      </c>
      <c r="Z365" s="2">
        <f t="shared" si="19"/>
        <v>1</v>
      </c>
      <c r="AA365" s="2">
        <f t="shared" si="20"/>
        <v>1</v>
      </c>
      <c r="AB365" s="2">
        <v>281</v>
      </c>
    </row>
    <row r="366" spans="1:28" x14ac:dyDescent="0.75">
      <c r="A366" s="3">
        <v>1</v>
      </c>
      <c r="B366" s="2">
        <f t="shared" si="22"/>
        <v>14</v>
      </c>
      <c r="C366" s="3">
        <v>50</v>
      </c>
      <c r="D366" s="3" t="s">
        <v>86</v>
      </c>
      <c r="G366" s="3">
        <v>2000</v>
      </c>
      <c r="P366" s="3">
        <v>1100</v>
      </c>
      <c r="Q366" s="2">
        <v>5899</v>
      </c>
      <c r="S366" s="3" t="s">
        <v>118</v>
      </c>
      <c r="W366" s="2">
        <v>1000000</v>
      </c>
      <c r="X366" s="3" t="s">
        <v>60</v>
      </c>
      <c r="Y366" s="3" t="s">
        <v>19</v>
      </c>
      <c r="Z366" s="2">
        <f t="shared" si="19"/>
        <v>1</v>
      </c>
      <c r="AA366" s="2">
        <f t="shared" si="20"/>
        <v>1</v>
      </c>
      <c r="AB366" s="2">
        <v>282</v>
      </c>
    </row>
    <row r="367" spans="1:28" x14ac:dyDescent="0.75">
      <c r="A367" s="3">
        <v>1</v>
      </c>
      <c r="B367" s="2">
        <f t="shared" si="22"/>
        <v>14</v>
      </c>
      <c r="C367" s="3">
        <v>51</v>
      </c>
      <c r="D367" s="3" t="s">
        <v>86</v>
      </c>
      <c r="G367" s="3">
        <v>2000</v>
      </c>
      <c r="P367" s="3">
        <v>1100</v>
      </c>
      <c r="Q367">
        <v>5900</v>
      </c>
      <c r="S367" s="3" t="s">
        <v>118</v>
      </c>
      <c r="W367" s="2">
        <v>1000000</v>
      </c>
      <c r="X367" s="3" t="s">
        <v>60</v>
      </c>
      <c r="Y367" s="3" t="s">
        <v>19</v>
      </c>
      <c r="Z367" s="2">
        <f t="shared" si="19"/>
        <v>1</v>
      </c>
      <c r="AA367" s="2">
        <f t="shared" si="20"/>
        <v>1</v>
      </c>
      <c r="AB367" s="2">
        <v>283</v>
      </c>
    </row>
    <row r="368" spans="1:28" x14ac:dyDescent="0.75">
      <c r="A368" s="3">
        <v>1</v>
      </c>
      <c r="B368" s="2">
        <f t="shared" si="22"/>
        <v>14</v>
      </c>
      <c r="C368" s="3">
        <v>52</v>
      </c>
      <c r="D368" s="3" t="s">
        <v>86</v>
      </c>
      <c r="G368" s="3">
        <v>2000</v>
      </c>
      <c r="P368" s="3">
        <v>1100</v>
      </c>
      <c r="Q368" s="2">
        <v>5901</v>
      </c>
      <c r="S368" s="3" t="s">
        <v>118</v>
      </c>
      <c r="W368" s="2">
        <v>1000000</v>
      </c>
      <c r="X368" s="3" t="s">
        <v>60</v>
      </c>
      <c r="Y368" s="3" t="s">
        <v>19</v>
      </c>
      <c r="Z368" s="2">
        <f t="shared" si="19"/>
        <v>1</v>
      </c>
      <c r="AA368" s="2">
        <f t="shared" si="20"/>
        <v>1</v>
      </c>
      <c r="AB368" s="2">
        <v>284</v>
      </c>
    </row>
    <row r="369" spans="1:28" x14ac:dyDescent="0.75">
      <c r="A369" s="3">
        <v>1</v>
      </c>
      <c r="B369" s="2">
        <f t="shared" si="22"/>
        <v>14</v>
      </c>
      <c r="C369" s="3">
        <v>53</v>
      </c>
      <c r="D369" s="3" t="s">
        <v>86</v>
      </c>
      <c r="G369" s="3">
        <v>2000</v>
      </c>
      <c r="P369" s="3">
        <v>1100</v>
      </c>
      <c r="Q369">
        <v>5902</v>
      </c>
      <c r="S369" s="3" t="s">
        <v>118</v>
      </c>
      <c r="W369" s="2">
        <v>1000000</v>
      </c>
      <c r="X369" s="3" t="s">
        <v>60</v>
      </c>
      <c r="Y369" s="3" t="s">
        <v>19</v>
      </c>
      <c r="Z369" s="2">
        <f t="shared" si="19"/>
        <v>1</v>
      </c>
      <c r="AA369" s="2">
        <f t="shared" si="20"/>
        <v>1</v>
      </c>
      <c r="AB369" s="2">
        <v>285</v>
      </c>
    </row>
    <row r="370" spans="1:28" x14ac:dyDescent="0.75">
      <c r="A370" s="3">
        <v>1</v>
      </c>
      <c r="B370" s="2">
        <f t="shared" si="22"/>
        <v>14</v>
      </c>
      <c r="C370" s="3">
        <v>54</v>
      </c>
      <c r="D370" s="3" t="s">
        <v>86</v>
      </c>
      <c r="G370" s="3">
        <v>2000</v>
      </c>
      <c r="P370" s="3">
        <v>1100</v>
      </c>
      <c r="Q370" s="2">
        <v>5903</v>
      </c>
      <c r="S370" s="3" t="s">
        <v>118</v>
      </c>
      <c r="W370" s="2">
        <v>1000000</v>
      </c>
      <c r="X370" s="3" t="s">
        <v>60</v>
      </c>
      <c r="Y370" s="3" t="s">
        <v>19</v>
      </c>
      <c r="Z370" s="2">
        <f t="shared" si="19"/>
        <v>1</v>
      </c>
      <c r="AA370" s="2">
        <f t="shared" si="20"/>
        <v>1</v>
      </c>
      <c r="AB370" s="2">
        <v>286</v>
      </c>
    </row>
    <row r="371" spans="1:28" x14ac:dyDescent="0.75">
      <c r="A371" s="3">
        <v>1</v>
      </c>
      <c r="B371" s="2">
        <f t="shared" si="22"/>
        <v>14</v>
      </c>
      <c r="C371" s="3">
        <v>55</v>
      </c>
      <c r="D371" s="3" t="s">
        <v>86</v>
      </c>
      <c r="G371" s="3">
        <v>2000</v>
      </c>
      <c r="P371" s="3">
        <v>1100</v>
      </c>
      <c r="Q371">
        <v>5904</v>
      </c>
      <c r="S371" s="3" t="s">
        <v>118</v>
      </c>
      <c r="W371" s="2">
        <v>1000000</v>
      </c>
      <c r="X371" s="3" t="s">
        <v>60</v>
      </c>
      <c r="Y371" s="3" t="s">
        <v>19</v>
      </c>
      <c r="Z371" s="2">
        <f t="shared" si="19"/>
        <v>1</v>
      </c>
      <c r="AA371" s="2">
        <f t="shared" si="20"/>
        <v>1</v>
      </c>
      <c r="AB371" s="2">
        <v>287</v>
      </c>
    </row>
    <row r="372" spans="1:28" x14ac:dyDescent="0.75">
      <c r="A372" s="3">
        <v>1</v>
      </c>
      <c r="B372" s="2">
        <f t="shared" si="22"/>
        <v>14</v>
      </c>
      <c r="C372" s="3">
        <v>56</v>
      </c>
      <c r="D372" s="3" t="s">
        <v>86</v>
      </c>
      <c r="G372" s="3">
        <v>2000</v>
      </c>
      <c r="P372" s="3">
        <v>1100</v>
      </c>
      <c r="Q372" s="2">
        <v>5905</v>
      </c>
      <c r="S372" s="3" t="s">
        <v>118</v>
      </c>
      <c r="W372" s="2">
        <v>1000000</v>
      </c>
      <c r="X372" s="3" t="s">
        <v>60</v>
      </c>
      <c r="Y372" s="3" t="s">
        <v>19</v>
      </c>
      <c r="Z372" s="2">
        <f t="shared" si="19"/>
        <v>1</v>
      </c>
      <c r="AA372" s="2">
        <f t="shared" si="20"/>
        <v>1</v>
      </c>
      <c r="AB372" s="2">
        <v>288</v>
      </c>
    </row>
    <row r="373" spans="1:28" x14ac:dyDescent="0.75">
      <c r="A373" s="3">
        <v>1</v>
      </c>
      <c r="B373" s="2">
        <f t="shared" si="22"/>
        <v>14</v>
      </c>
      <c r="C373" s="3">
        <v>57</v>
      </c>
      <c r="D373" s="3" t="s">
        <v>86</v>
      </c>
      <c r="G373" s="3">
        <v>2000</v>
      </c>
      <c r="P373" s="3">
        <v>1100</v>
      </c>
      <c r="Q373">
        <v>5906</v>
      </c>
      <c r="S373" s="3" t="s">
        <v>118</v>
      </c>
      <c r="W373" s="2">
        <v>1000000</v>
      </c>
      <c r="X373" s="3" t="s">
        <v>60</v>
      </c>
      <c r="Y373" s="3" t="s">
        <v>19</v>
      </c>
      <c r="Z373" s="2">
        <f t="shared" si="19"/>
        <v>1</v>
      </c>
      <c r="AA373" s="2">
        <f t="shared" si="20"/>
        <v>1</v>
      </c>
      <c r="AB373" s="2">
        <v>289</v>
      </c>
    </row>
    <row r="374" spans="1:28" x14ac:dyDescent="0.75">
      <c r="A374" s="3">
        <v>1</v>
      </c>
      <c r="B374" s="2">
        <f t="shared" si="22"/>
        <v>14</v>
      </c>
      <c r="C374" s="3">
        <v>58</v>
      </c>
      <c r="D374" s="3" t="s">
        <v>86</v>
      </c>
      <c r="G374" s="3">
        <v>2000</v>
      </c>
      <c r="P374" s="3">
        <v>1100</v>
      </c>
      <c r="Q374" s="2">
        <v>5907</v>
      </c>
      <c r="S374" s="3" t="s">
        <v>118</v>
      </c>
      <c r="W374" s="2">
        <v>1000000</v>
      </c>
      <c r="X374" s="3" t="s">
        <v>60</v>
      </c>
      <c r="Y374" s="3" t="s">
        <v>19</v>
      </c>
      <c r="Z374" s="2">
        <f t="shared" si="19"/>
        <v>1</v>
      </c>
      <c r="AA374" s="2">
        <f t="shared" si="20"/>
        <v>1</v>
      </c>
      <c r="AB374" s="2">
        <v>290</v>
      </c>
    </row>
    <row r="375" spans="1:28" x14ac:dyDescent="0.75">
      <c r="A375" s="3">
        <v>1</v>
      </c>
      <c r="B375" s="2">
        <f t="shared" si="22"/>
        <v>14</v>
      </c>
      <c r="C375" s="3">
        <v>59</v>
      </c>
      <c r="D375" s="3" t="s">
        <v>86</v>
      </c>
      <c r="G375" s="3">
        <v>2000</v>
      </c>
      <c r="P375" s="3">
        <v>1100</v>
      </c>
      <c r="Q375">
        <v>5908</v>
      </c>
      <c r="S375" s="3" t="s">
        <v>118</v>
      </c>
      <c r="W375" s="2">
        <v>1000000</v>
      </c>
      <c r="X375" s="3" t="s">
        <v>60</v>
      </c>
      <c r="Y375" s="3" t="s">
        <v>19</v>
      </c>
      <c r="Z375" s="2">
        <f t="shared" si="19"/>
        <v>1</v>
      </c>
      <c r="AA375" s="2">
        <f t="shared" si="20"/>
        <v>1</v>
      </c>
      <c r="AB375" s="2">
        <v>291</v>
      </c>
    </row>
    <row r="376" spans="1:28" x14ac:dyDescent="0.75">
      <c r="A376" s="3">
        <v>1</v>
      </c>
      <c r="B376" s="2">
        <f t="shared" si="22"/>
        <v>14</v>
      </c>
      <c r="C376" s="3">
        <v>60</v>
      </c>
      <c r="D376" s="3" t="s">
        <v>86</v>
      </c>
      <c r="G376" s="3">
        <v>2000</v>
      </c>
      <c r="P376" s="3">
        <v>1100</v>
      </c>
      <c r="Q376" s="2">
        <v>5909</v>
      </c>
      <c r="S376" s="3" t="s">
        <v>118</v>
      </c>
      <c r="W376" s="2">
        <v>1000000</v>
      </c>
      <c r="X376" s="3" t="s">
        <v>60</v>
      </c>
      <c r="Y376" s="3" t="s">
        <v>19</v>
      </c>
      <c r="Z376" s="2">
        <f t="shared" ref="Z376:Z423" si="23">IF(T376&gt;0,1,0)+IF(U376&gt;0,1,0)+IF(V376&gt;0,1,0)+IF(W376&gt;0,1,0)</f>
        <v>1</v>
      </c>
      <c r="AA376" s="2">
        <f t="shared" ref="AA376:AA423" si="24">IF(Y376="OK",Z376,0)</f>
        <v>1</v>
      </c>
      <c r="AB376" s="2">
        <v>292</v>
      </c>
    </row>
    <row r="377" spans="1:28" x14ac:dyDescent="0.75">
      <c r="A377" s="3">
        <v>1</v>
      </c>
      <c r="B377" s="2">
        <f t="shared" si="22"/>
        <v>14</v>
      </c>
      <c r="C377" s="3">
        <v>61</v>
      </c>
      <c r="D377" s="3" t="s">
        <v>86</v>
      </c>
      <c r="G377" s="3">
        <v>2000</v>
      </c>
      <c r="P377" s="3">
        <v>1100</v>
      </c>
      <c r="Q377">
        <v>5910</v>
      </c>
      <c r="S377" s="3" t="s">
        <v>118</v>
      </c>
      <c r="W377" s="2">
        <v>1000000</v>
      </c>
      <c r="X377" s="3" t="s">
        <v>60</v>
      </c>
      <c r="Y377" s="3" t="s">
        <v>19</v>
      </c>
      <c r="Z377" s="2">
        <f t="shared" si="23"/>
        <v>1</v>
      </c>
      <c r="AA377" s="2">
        <f t="shared" si="24"/>
        <v>1</v>
      </c>
      <c r="AB377" s="2">
        <v>293</v>
      </c>
    </row>
    <row r="378" spans="1:28" x14ac:dyDescent="0.75">
      <c r="A378" s="3">
        <v>1</v>
      </c>
      <c r="B378" s="2">
        <f t="shared" si="22"/>
        <v>14</v>
      </c>
      <c r="C378" s="3">
        <v>62</v>
      </c>
      <c r="D378" s="3" t="s">
        <v>86</v>
      </c>
      <c r="G378" s="3">
        <v>2000</v>
      </c>
      <c r="P378" s="3">
        <v>1100</v>
      </c>
      <c r="Q378" s="2">
        <v>5911</v>
      </c>
      <c r="S378" s="3" t="s">
        <v>118</v>
      </c>
      <c r="W378" s="2">
        <v>1000000</v>
      </c>
      <c r="X378" s="3" t="s">
        <v>60</v>
      </c>
      <c r="Y378" s="3" t="s">
        <v>19</v>
      </c>
      <c r="Z378" s="2">
        <f t="shared" si="23"/>
        <v>1</v>
      </c>
      <c r="AA378" s="2">
        <f t="shared" si="24"/>
        <v>1</v>
      </c>
      <c r="AB378" s="2">
        <v>294</v>
      </c>
    </row>
    <row r="379" spans="1:28" x14ac:dyDescent="0.75">
      <c r="A379" s="3">
        <v>1</v>
      </c>
      <c r="B379" s="2">
        <f t="shared" si="22"/>
        <v>14</v>
      </c>
      <c r="C379" s="3">
        <v>63</v>
      </c>
      <c r="D379" s="3" t="s">
        <v>86</v>
      </c>
      <c r="G379" s="3">
        <v>2000</v>
      </c>
      <c r="P379" s="3">
        <v>1100</v>
      </c>
      <c r="Q379">
        <v>5912</v>
      </c>
      <c r="S379" s="3" t="s">
        <v>118</v>
      </c>
      <c r="W379" s="2">
        <v>1000000</v>
      </c>
      <c r="X379" s="3" t="s">
        <v>60</v>
      </c>
      <c r="Y379" s="3" t="s">
        <v>19</v>
      </c>
      <c r="Z379" s="2">
        <f t="shared" si="23"/>
        <v>1</v>
      </c>
      <c r="AA379" s="2">
        <f t="shared" si="24"/>
        <v>1</v>
      </c>
      <c r="AB379" s="2">
        <v>295</v>
      </c>
    </row>
    <row r="380" spans="1:28" x14ac:dyDescent="0.75">
      <c r="A380" s="3">
        <v>1</v>
      </c>
      <c r="B380" s="2">
        <f t="shared" si="22"/>
        <v>14</v>
      </c>
      <c r="C380" s="3">
        <v>64</v>
      </c>
      <c r="D380" s="3" t="s">
        <v>86</v>
      </c>
      <c r="G380" s="3">
        <v>2000</v>
      </c>
      <c r="P380" s="3">
        <v>1100</v>
      </c>
      <c r="Q380" s="2">
        <v>5913</v>
      </c>
      <c r="S380" s="3" t="s">
        <v>118</v>
      </c>
      <c r="W380" s="2">
        <v>1000000</v>
      </c>
      <c r="X380" s="3" t="s">
        <v>60</v>
      </c>
      <c r="Y380" s="3" t="s">
        <v>19</v>
      </c>
      <c r="Z380" s="2">
        <f t="shared" si="23"/>
        <v>1</v>
      </c>
      <c r="AA380" s="2">
        <f t="shared" si="24"/>
        <v>1</v>
      </c>
      <c r="AB380" s="2">
        <v>296</v>
      </c>
    </row>
    <row r="381" spans="1:28" x14ac:dyDescent="0.75">
      <c r="A381" s="3">
        <v>1</v>
      </c>
      <c r="B381" s="2">
        <f t="shared" si="22"/>
        <v>14</v>
      </c>
      <c r="C381" s="3">
        <v>65</v>
      </c>
      <c r="D381" s="3" t="s">
        <v>86</v>
      </c>
      <c r="G381" s="3">
        <v>2000</v>
      </c>
      <c r="P381" s="3">
        <v>1100</v>
      </c>
      <c r="Q381">
        <v>5914</v>
      </c>
      <c r="S381" s="3" t="s">
        <v>118</v>
      </c>
      <c r="W381" s="2">
        <v>1000000</v>
      </c>
      <c r="X381" s="3" t="s">
        <v>60</v>
      </c>
      <c r="Y381" s="3" t="s">
        <v>19</v>
      </c>
      <c r="Z381" s="2">
        <f t="shared" si="23"/>
        <v>1</v>
      </c>
      <c r="AA381" s="2">
        <f t="shared" si="24"/>
        <v>1</v>
      </c>
      <c r="AB381" s="2">
        <v>297</v>
      </c>
    </row>
    <row r="382" spans="1:28" x14ac:dyDescent="0.75">
      <c r="A382" s="3">
        <v>1</v>
      </c>
      <c r="B382" s="2">
        <f t="shared" si="22"/>
        <v>14</v>
      </c>
      <c r="C382" s="3">
        <v>66</v>
      </c>
      <c r="D382" s="3" t="s">
        <v>86</v>
      </c>
      <c r="G382" s="3">
        <v>2000</v>
      </c>
      <c r="P382" s="3">
        <v>1100</v>
      </c>
      <c r="Q382" s="2">
        <v>5915</v>
      </c>
      <c r="S382" s="3" t="s">
        <v>118</v>
      </c>
      <c r="W382" s="2">
        <v>1000000</v>
      </c>
      <c r="X382" s="3" t="s">
        <v>60</v>
      </c>
      <c r="Y382" s="3" t="s">
        <v>19</v>
      </c>
      <c r="Z382" s="2">
        <f t="shared" si="23"/>
        <v>1</v>
      </c>
      <c r="AA382" s="2">
        <f t="shared" si="24"/>
        <v>1</v>
      </c>
      <c r="AB382" s="2">
        <v>298</v>
      </c>
    </row>
    <row r="383" spans="1:28" x14ac:dyDescent="0.75">
      <c r="A383" s="3">
        <v>1</v>
      </c>
      <c r="B383" s="2">
        <f t="shared" ref="B383:B416" si="25">IF(C383=1,B382+1,B382)</f>
        <v>14</v>
      </c>
      <c r="C383" s="3">
        <v>67</v>
      </c>
      <c r="D383" s="3" t="s">
        <v>86</v>
      </c>
      <c r="G383" s="3">
        <v>2000</v>
      </c>
      <c r="P383" s="3">
        <v>1100</v>
      </c>
      <c r="Q383">
        <v>5916</v>
      </c>
      <c r="S383" s="3" t="s">
        <v>118</v>
      </c>
      <c r="W383" s="2">
        <v>1000000</v>
      </c>
      <c r="X383" s="3" t="s">
        <v>60</v>
      </c>
      <c r="Y383" s="3" t="s">
        <v>19</v>
      </c>
      <c r="Z383" s="2">
        <f t="shared" si="23"/>
        <v>1</v>
      </c>
      <c r="AA383" s="2">
        <f t="shared" si="24"/>
        <v>1</v>
      </c>
      <c r="AB383" s="2">
        <v>299</v>
      </c>
    </row>
    <row r="384" spans="1:28" x14ac:dyDescent="0.75">
      <c r="A384" s="3">
        <v>1</v>
      </c>
      <c r="B384" s="2">
        <f t="shared" si="25"/>
        <v>14</v>
      </c>
      <c r="C384" s="3">
        <v>68</v>
      </c>
      <c r="D384" s="3" t="s">
        <v>86</v>
      </c>
      <c r="G384" s="3">
        <v>2000</v>
      </c>
      <c r="P384" s="3">
        <v>1100</v>
      </c>
      <c r="Q384" s="2">
        <v>5917</v>
      </c>
      <c r="S384" s="3" t="s">
        <v>118</v>
      </c>
      <c r="W384" s="2">
        <v>1000000</v>
      </c>
      <c r="X384" s="3" t="s">
        <v>60</v>
      </c>
      <c r="Y384" s="3" t="s">
        <v>19</v>
      </c>
      <c r="Z384" s="2">
        <f t="shared" si="23"/>
        <v>1</v>
      </c>
      <c r="AA384" s="2">
        <f t="shared" si="24"/>
        <v>1</v>
      </c>
      <c r="AB384" s="2">
        <v>300</v>
      </c>
    </row>
    <row r="385" spans="1:28" x14ac:dyDescent="0.75">
      <c r="A385" s="3">
        <v>1</v>
      </c>
      <c r="B385" s="2">
        <f t="shared" si="25"/>
        <v>14</v>
      </c>
      <c r="C385" s="3">
        <v>69</v>
      </c>
      <c r="D385" s="3" t="s">
        <v>86</v>
      </c>
      <c r="G385" s="3">
        <v>2000</v>
      </c>
      <c r="P385" s="3">
        <v>1100</v>
      </c>
      <c r="Q385">
        <v>5918</v>
      </c>
      <c r="S385" s="3" t="s">
        <v>118</v>
      </c>
      <c r="W385" s="2">
        <v>1000000</v>
      </c>
      <c r="X385" s="3" t="s">
        <v>60</v>
      </c>
      <c r="Y385" s="3" t="s">
        <v>19</v>
      </c>
      <c r="Z385" s="2">
        <f t="shared" si="23"/>
        <v>1</v>
      </c>
      <c r="AA385" s="2">
        <f t="shared" si="24"/>
        <v>1</v>
      </c>
      <c r="AB385" s="2">
        <v>301</v>
      </c>
    </row>
    <row r="386" spans="1:28" x14ac:dyDescent="0.75">
      <c r="A386" s="3">
        <v>1</v>
      </c>
      <c r="B386" s="2">
        <f t="shared" si="25"/>
        <v>14</v>
      </c>
      <c r="C386" s="3">
        <v>70</v>
      </c>
      <c r="D386" s="3" t="s">
        <v>86</v>
      </c>
      <c r="G386" s="3">
        <v>2000</v>
      </c>
      <c r="P386" s="3">
        <v>1100</v>
      </c>
      <c r="Q386" s="2">
        <v>5919</v>
      </c>
      <c r="S386" s="3" t="s">
        <v>118</v>
      </c>
      <c r="W386" s="2">
        <v>1000000</v>
      </c>
      <c r="X386" s="3" t="s">
        <v>60</v>
      </c>
      <c r="Y386" s="3" t="s">
        <v>19</v>
      </c>
      <c r="Z386" s="2">
        <f t="shared" si="23"/>
        <v>1</v>
      </c>
      <c r="AA386" s="2">
        <f t="shared" si="24"/>
        <v>1</v>
      </c>
      <c r="AB386" s="2">
        <v>302</v>
      </c>
    </row>
    <row r="387" spans="1:28" x14ac:dyDescent="0.75">
      <c r="A387" s="3">
        <v>1</v>
      </c>
      <c r="B387" s="2">
        <f t="shared" si="25"/>
        <v>14</v>
      </c>
      <c r="C387" s="3">
        <v>71</v>
      </c>
      <c r="D387" s="3" t="s">
        <v>86</v>
      </c>
      <c r="G387" s="3">
        <v>2000</v>
      </c>
      <c r="P387" s="3">
        <v>1100</v>
      </c>
      <c r="Q387">
        <v>5920</v>
      </c>
      <c r="S387" s="3" t="s">
        <v>118</v>
      </c>
      <c r="W387" s="2">
        <v>1000000</v>
      </c>
      <c r="X387" s="3" t="s">
        <v>60</v>
      </c>
      <c r="Y387" s="3" t="s">
        <v>19</v>
      </c>
      <c r="Z387" s="2">
        <f t="shared" si="23"/>
        <v>1</v>
      </c>
      <c r="AA387" s="2">
        <f t="shared" si="24"/>
        <v>1</v>
      </c>
      <c r="AB387" s="2">
        <v>303</v>
      </c>
    </row>
    <row r="388" spans="1:28" x14ac:dyDescent="0.75">
      <c r="A388" s="3">
        <v>1</v>
      </c>
      <c r="B388" s="2">
        <f t="shared" si="25"/>
        <v>14</v>
      </c>
      <c r="C388" s="3">
        <v>72</v>
      </c>
      <c r="D388" s="3" t="s">
        <v>86</v>
      </c>
      <c r="G388" s="3">
        <v>2000</v>
      </c>
      <c r="P388" s="3">
        <v>1100</v>
      </c>
      <c r="Q388" s="2">
        <v>5921</v>
      </c>
      <c r="S388" s="3" t="s">
        <v>118</v>
      </c>
      <c r="W388" s="2">
        <v>1000000</v>
      </c>
      <c r="X388" s="3" t="s">
        <v>60</v>
      </c>
      <c r="Y388" s="3" t="s">
        <v>19</v>
      </c>
      <c r="Z388" s="2">
        <f t="shared" si="23"/>
        <v>1</v>
      </c>
      <c r="AA388" s="2">
        <f t="shared" si="24"/>
        <v>1</v>
      </c>
      <c r="AB388" s="2">
        <v>304</v>
      </c>
    </row>
    <row r="389" spans="1:28" x14ac:dyDescent="0.75">
      <c r="A389" s="3">
        <v>1</v>
      </c>
      <c r="B389" s="2">
        <f t="shared" si="25"/>
        <v>14</v>
      </c>
      <c r="C389" s="3">
        <v>73</v>
      </c>
      <c r="D389" s="3" t="s">
        <v>86</v>
      </c>
      <c r="G389" s="3">
        <v>2000</v>
      </c>
      <c r="P389" s="3">
        <v>1100</v>
      </c>
      <c r="Q389">
        <v>5922</v>
      </c>
      <c r="S389" s="3" t="s">
        <v>118</v>
      </c>
      <c r="W389" s="2">
        <v>1000000</v>
      </c>
      <c r="X389" s="3" t="s">
        <v>60</v>
      </c>
      <c r="Y389" s="3" t="s">
        <v>19</v>
      </c>
      <c r="Z389" s="2">
        <f t="shared" si="23"/>
        <v>1</v>
      </c>
      <c r="AA389" s="2">
        <f t="shared" si="24"/>
        <v>1</v>
      </c>
      <c r="AB389" s="2">
        <v>305</v>
      </c>
    </row>
    <row r="390" spans="1:28" x14ac:dyDescent="0.75">
      <c r="A390" s="3">
        <v>1</v>
      </c>
      <c r="B390" s="2">
        <f t="shared" si="25"/>
        <v>14</v>
      </c>
      <c r="C390" s="3">
        <v>74</v>
      </c>
      <c r="D390" s="3" t="s">
        <v>86</v>
      </c>
      <c r="G390" s="3">
        <v>2000</v>
      </c>
      <c r="P390" s="3">
        <v>1100</v>
      </c>
      <c r="Q390" s="2">
        <v>5923</v>
      </c>
      <c r="S390" s="3" t="s">
        <v>118</v>
      </c>
      <c r="W390" s="2">
        <v>1000000</v>
      </c>
      <c r="X390" s="3" t="s">
        <v>60</v>
      </c>
      <c r="Y390" s="3" t="s">
        <v>19</v>
      </c>
      <c r="Z390" s="2">
        <f t="shared" si="23"/>
        <v>1</v>
      </c>
      <c r="AA390" s="2">
        <f t="shared" si="24"/>
        <v>1</v>
      </c>
      <c r="AB390" s="2">
        <v>306</v>
      </c>
    </row>
    <row r="391" spans="1:28" x14ac:dyDescent="0.75">
      <c r="A391" s="3">
        <v>1</v>
      </c>
      <c r="B391" s="2">
        <f t="shared" si="25"/>
        <v>14</v>
      </c>
      <c r="C391" s="3">
        <v>75</v>
      </c>
      <c r="D391" s="3" t="s">
        <v>86</v>
      </c>
      <c r="G391" s="3">
        <v>2000</v>
      </c>
      <c r="P391" s="3">
        <v>1100</v>
      </c>
      <c r="Q391">
        <v>5924</v>
      </c>
      <c r="S391" s="3" t="s">
        <v>118</v>
      </c>
      <c r="W391" s="2">
        <v>1000000</v>
      </c>
      <c r="X391" s="3" t="s">
        <v>60</v>
      </c>
      <c r="Y391" s="3" t="s">
        <v>19</v>
      </c>
      <c r="Z391" s="2">
        <f t="shared" si="23"/>
        <v>1</v>
      </c>
      <c r="AA391" s="2">
        <f t="shared" si="24"/>
        <v>1</v>
      </c>
      <c r="AB391" s="2">
        <v>307</v>
      </c>
    </row>
    <row r="392" spans="1:28" x14ac:dyDescent="0.75">
      <c r="A392" s="3">
        <v>1</v>
      </c>
      <c r="B392" s="2">
        <f t="shared" si="25"/>
        <v>14</v>
      </c>
      <c r="C392" s="3">
        <v>76</v>
      </c>
      <c r="D392" s="3" t="s">
        <v>86</v>
      </c>
      <c r="G392" s="3">
        <v>2000</v>
      </c>
      <c r="P392" s="3">
        <v>1100</v>
      </c>
      <c r="Q392" s="2">
        <v>5925</v>
      </c>
      <c r="S392" s="3" t="s">
        <v>118</v>
      </c>
      <c r="W392" s="2">
        <v>1000000</v>
      </c>
      <c r="X392" s="3" t="s">
        <v>60</v>
      </c>
      <c r="Y392" s="3" t="s">
        <v>19</v>
      </c>
      <c r="Z392" s="2">
        <f t="shared" si="23"/>
        <v>1</v>
      </c>
      <c r="AA392" s="2">
        <f t="shared" si="24"/>
        <v>1</v>
      </c>
      <c r="AB392" s="2">
        <v>308</v>
      </c>
    </row>
    <row r="393" spans="1:28" x14ac:dyDescent="0.75">
      <c r="A393" s="3">
        <v>1</v>
      </c>
      <c r="B393" s="2">
        <f t="shared" si="25"/>
        <v>14</v>
      </c>
      <c r="C393" s="3">
        <v>77</v>
      </c>
      <c r="D393" s="3" t="s">
        <v>86</v>
      </c>
      <c r="G393" s="3">
        <v>2000</v>
      </c>
      <c r="P393" s="3">
        <v>1100</v>
      </c>
      <c r="Q393">
        <v>5926</v>
      </c>
      <c r="S393" s="3" t="s">
        <v>118</v>
      </c>
      <c r="W393" s="2">
        <v>1000000</v>
      </c>
      <c r="X393" s="3" t="s">
        <v>60</v>
      </c>
      <c r="Y393" s="3" t="s">
        <v>19</v>
      </c>
      <c r="Z393" s="2">
        <f t="shared" si="23"/>
        <v>1</v>
      </c>
      <c r="AA393" s="2">
        <f t="shared" si="24"/>
        <v>1</v>
      </c>
      <c r="AB393" s="2">
        <v>309</v>
      </c>
    </row>
    <row r="394" spans="1:28" x14ac:dyDescent="0.75">
      <c r="A394" s="3">
        <v>1</v>
      </c>
      <c r="B394" s="2">
        <f t="shared" si="25"/>
        <v>14</v>
      </c>
      <c r="C394" s="3">
        <v>78</v>
      </c>
      <c r="D394" s="3" t="s">
        <v>86</v>
      </c>
      <c r="G394" s="3">
        <v>2000</v>
      </c>
      <c r="P394" s="3">
        <v>1100</v>
      </c>
      <c r="Q394" s="2">
        <v>5927</v>
      </c>
      <c r="S394" s="3" t="s">
        <v>118</v>
      </c>
      <c r="W394" s="2">
        <v>1000000</v>
      </c>
      <c r="X394" s="3" t="s">
        <v>60</v>
      </c>
      <c r="Y394" s="3" t="s">
        <v>19</v>
      </c>
      <c r="Z394" s="2">
        <f t="shared" si="23"/>
        <v>1</v>
      </c>
      <c r="AA394" s="2">
        <f t="shared" si="24"/>
        <v>1</v>
      </c>
      <c r="AB394" s="2">
        <v>310</v>
      </c>
    </row>
    <row r="395" spans="1:28" x14ac:dyDescent="0.75">
      <c r="A395" s="3">
        <v>1</v>
      </c>
      <c r="B395" s="2">
        <f t="shared" si="25"/>
        <v>14</v>
      </c>
      <c r="C395" s="3">
        <v>79</v>
      </c>
      <c r="D395" s="3" t="s">
        <v>86</v>
      </c>
      <c r="G395" s="3">
        <v>2000</v>
      </c>
      <c r="P395" s="3">
        <v>1100</v>
      </c>
      <c r="Q395">
        <v>5928</v>
      </c>
      <c r="S395" s="3" t="s">
        <v>118</v>
      </c>
      <c r="W395" s="2">
        <v>1000000</v>
      </c>
      <c r="X395" s="3" t="s">
        <v>60</v>
      </c>
      <c r="Y395" s="3" t="s">
        <v>19</v>
      </c>
      <c r="Z395" s="2">
        <f t="shared" si="23"/>
        <v>1</v>
      </c>
      <c r="AA395" s="2">
        <f t="shared" si="24"/>
        <v>1</v>
      </c>
      <c r="AB395" s="2">
        <v>311</v>
      </c>
    </row>
    <row r="396" spans="1:28" x14ac:dyDescent="0.75">
      <c r="A396" s="3">
        <v>1</v>
      </c>
      <c r="B396" s="2">
        <f t="shared" si="25"/>
        <v>14</v>
      </c>
      <c r="C396" s="3">
        <v>80</v>
      </c>
      <c r="D396" s="3" t="s">
        <v>86</v>
      </c>
      <c r="G396" s="3">
        <v>2000</v>
      </c>
      <c r="P396" s="3">
        <v>1100</v>
      </c>
      <c r="Q396" s="2">
        <v>5929</v>
      </c>
      <c r="S396" s="3" t="s">
        <v>118</v>
      </c>
      <c r="W396" s="2">
        <v>1000000</v>
      </c>
      <c r="X396" s="3" t="s">
        <v>60</v>
      </c>
      <c r="Y396" s="3" t="s">
        <v>19</v>
      </c>
      <c r="Z396" s="2">
        <f t="shared" si="23"/>
        <v>1</v>
      </c>
      <c r="AA396" s="2">
        <f t="shared" si="24"/>
        <v>1</v>
      </c>
      <c r="AB396" s="2">
        <v>312</v>
      </c>
    </row>
    <row r="397" spans="1:28" x14ac:dyDescent="0.75">
      <c r="A397" s="3">
        <v>1</v>
      </c>
      <c r="B397" s="2">
        <f t="shared" si="25"/>
        <v>14</v>
      </c>
      <c r="C397" s="3">
        <v>81</v>
      </c>
      <c r="D397" s="3" t="s">
        <v>86</v>
      </c>
      <c r="G397" s="3">
        <v>2000</v>
      </c>
      <c r="P397" s="3">
        <v>1100</v>
      </c>
      <c r="Q397">
        <v>5930</v>
      </c>
      <c r="S397" s="3" t="s">
        <v>118</v>
      </c>
      <c r="W397" s="2">
        <v>1000000</v>
      </c>
      <c r="X397" s="3" t="s">
        <v>60</v>
      </c>
      <c r="Y397" s="3" t="s">
        <v>19</v>
      </c>
      <c r="Z397" s="2">
        <f t="shared" si="23"/>
        <v>1</v>
      </c>
      <c r="AA397" s="2">
        <f t="shared" si="24"/>
        <v>1</v>
      </c>
      <c r="AB397" s="2">
        <v>313</v>
      </c>
    </row>
    <row r="398" spans="1:28" x14ac:dyDescent="0.75">
      <c r="A398" s="3">
        <v>1</v>
      </c>
      <c r="B398" s="2">
        <f t="shared" si="25"/>
        <v>14</v>
      </c>
      <c r="C398" s="3">
        <v>82</v>
      </c>
      <c r="D398" s="3" t="s">
        <v>86</v>
      </c>
      <c r="G398" s="3">
        <v>2000</v>
      </c>
      <c r="P398" s="3">
        <v>1100</v>
      </c>
      <c r="Q398" s="2">
        <v>5931</v>
      </c>
      <c r="S398" s="3" t="s">
        <v>118</v>
      </c>
      <c r="W398" s="2">
        <v>1000000</v>
      </c>
      <c r="X398" s="3" t="s">
        <v>60</v>
      </c>
      <c r="Y398" s="3" t="s">
        <v>19</v>
      </c>
      <c r="Z398" s="2">
        <f t="shared" si="23"/>
        <v>1</v>
      </c>
      <c r="AA398" s="2">
        <f t="shared" si="24"/>
        <v>1</v>
      </c>
      <c r="AB398" s="2">
        <v>314</v>
      </c>
    </row>
    <row r="399" spans="1:28" x14ac:dyDescent="0.75">
      <c r="A399" s="3">
        <v>1</v>
      </c>
      <c r="B399" s="2">
        <f t="shared" si="25"/>
        <v>14</v>
      </c>
      <c r="C399" s="3">
        <v>83</v>
      </c>
      <c r="D399" s="3" t="s">
        <v>86</v>
      </c>
      <c r="G399" s="3">
        <v>2000</v>
      </c>
      <c r="P399" s="3">
        <v>1100</v>
      </c>
      <c r="Q399">
        <v>5932</v>
      </c>
      <c r="S399" s="3" t="s">
        <v>118</v>
      </c>
      <c r="W399" s="2">
        <v>1000000</v>
      </c>
      <c r="X399" s="3" t="s">
        <v>60</v>
      </c>
      <c r="Y399" s="3" t="s">
        <v>19</v>
      </c>
      <c r="Z399" s="2">
        <f t="shared" si="23"/>
        <v>1</v>
      </c>
      <c r="AA399" s="2">
        <f t="shared" si="24"/>
        <v>1</v>
      </c>
      <c r="AB399" s="2">
        <v>315</v>
      </c>
    </row>
    <row r="400" spans="1:28" x14ac:dyDescent="0.75">
      <c r="A400" s="3">
        <v>1</v>
      </c>
      <c r="B400" s="2">
        <f t="shared" si="25"/>
        <v>14</v>
      </c>
      <c r="C400" s="3">
        <v>84</v>
      </c>
      <c r="D400" s="3" t="s">
        <v>86</v>
      </c>
      <c r="G400" s="3">
        <v>2000</v>
      </c>
      <c r="P400" s="3">
        <v>1100</v>
      </c>
      <c r="Q400" s="2">
        <v>5933</v>
      </c>
      <c r="S400" s="3" t="s">
        <v>118</v>
      </c>
      <c r="W400" s="2">
        <v>1000000</v>
      </c>
      <c r="X400" s="3" t="s">
        <v>60</v>
      </c>
      <c r="Y400" s="3" t="s">
        <v>19</v>
      </c>
      <c r="Z400" s="2">
        <f t="shared" si="23"/>
        <v>1</v>
      </c>
      <c r="AA400" s="2">
        <f t="shared" si="24"/>
        <v>1</v>
      </c>
      <c r="AB400" s="2">
        <v>316</v>
      </c>
    </row>
    <row r="401" spans="1:28" x14ac:dyDescent="0.75">
      <c r="A401" s="3">
        <v>1</v>
      </c>
      <c r="B401" s="2">
        <f t="shared" si="25"/>
        <v>14</v>
      </c>
      <c r="C401" s="3">
        <v>85</v>
      </c>
      <c r="D401" s="3" t="s">
        <v>86</v>
      </c>
      <c r="G401" s="3">
        <v>2000</v>
      </c>
      <c r="P401" s="3">
        <v>1100</v>
      </c>
      <c r="Q401">
        <v>5934</v>
      </c>
      <c r="S401" s="3" t="s">
        <v>118</v>
      </c>
      <c r="W401" s="2">
        <v>1000000</v>
      </c>
      <c r="X401" s="3" t="s">
        <v>60</v>
      </c>
      <c r="Y401" s="3" t="s">
        <v>19</v>
      </c>
      <c r="Z401" s="2">
        <f t="shared" si="23"/>
        <v>1</v>
      </c>
      <c r="AA401" s="2">
        <f t="shared" si="24"/>
        <v>1</v>
      </c>
      <c r="AB401" s="2">
        <v>317</v>
      </c>
    </row>
    <row r="402" spans="1:28" x14ac:dyDescent="0.75">
      <c r="A402" s="3">
        <v>1</v>
      </c>
      <c r="B402" s="2">
        <f t="shared" si="25"/>
        <v>14</v>
      </c>
      <c r="C402" s="3">
        <v>86</v>
      </c>
      <c r="D402" s="3" t="s">
        <v>86</v>
      </c>
      <c r="G402" s="3">
        <v>2000</v>
      </c>
      <c r="P402" s="3">
        <v>1100</v>
      </c>
      <c r="Q402" s="2">
        <v>5935</v>
      </c>
      <c r="S402" s="3" t="s">
        <v>118</v>
      </c>
      <c r="W402" s="2">
        <v>1000000</v>
      </c>
      <c r="X402" s="3" t="s">
        <v>60</v>
      </c>
      <c r="Y402" s="3" t="s">
        <v>19</v>
      </c>
      <c r="Z402" s="2">
        <f t="shared" si="23"/>
        <v>1</v>
      </c>
      <c r="AA402" s="2">
        <f t="shared" si="24"/>
        <v>1</v>
      </c>
      <c r="AB402" s="2">
        <v>318</v>
      </c>
    </row>
    <row r="403" spans="1:28" x14ac:dyDescent="0.75">
      <c r="A403" s="3">
        <v>1</v>
      </c>
      <c r="B403" s="2">
        <f t="shared" si="25"/>
        <v>14</v>
      </c>
      <c r="C403" s="3">
        <v>87</v>
      </c>
      <c r="D403" s="3" t="s">
        <v>86</v>
      </c>
      <c r="G403" s="3">
        <v>2000</v>
      </c>
      <c r="P403" s="3">
        <v>1100</v>
      </c>
      <c r="Q403">
        <v>5936</v>
      </c>
      <c r="S403" s="3" t="s">
        <v>118</v>
      </c>
      <c r="W403" s="2">
        <v>1000000</v>
      </c>
      <c r="X403" s="3" t="s">
        <v>60</v>
      </c>
      <c r="Y403" s="3" t="s">
        <v>19</v>
      </c>
      <c r="Z403" s="2">
        <f t="shared" si="23"/>
        <v>1</v>
      </c>
      <c r="AA403" s="2">
        <f t="shared" si="24"/>
        <v>1</v>
      </c>
      <c r="AB403" s="2">
        <v>319</v>
      </c>
    </row>
    <row r="404" spans="1:28" x14ac:dyDescent="0.75">
      <c r="A404" s="3">
        <v>1</v>
      </c>
      <c r="B404" s="2">
        <f t="shared" si="25"/>
        <v>14</v>
      </c>
      <c r="C404" s="3">
        <v>88</v>
      </c>
      <c r="D404" s="3" t="s">
        <v>86</v>
      </c>
      <c r="G404" s="3">
        <v>2000</v>
      </c>
      <c r="P404" s="3">
        <v>1100</v>
      </c>
      <c r="Q404" s="2">
        <v>5937</v>
      </c>
      <c r="S404" s="3" t="s">
        <v>118</v>
      </c>
      <c r="W404" s="2">
        <v>1000000</v>
      </c>
      <c r="X404" s="3" t="s">
        <v>60</v>
      </c>
      <c r="Y404" s="3" t="s">
        <v>19</v>
      </c>
      <c r="Z404" s="2">
        <f t="shared" si="23"/>
        <v>1</v>
      </c>
      <c r="AA404" s="2">
        <f t="shared" si="24"/>
        <v>1</v>
      </c>
      <c r="AB404" s="2">
        <v>320</v>
      </c>
    </row>
    <row r="405" spans="1:28" x14ac:dyDescent="0.75">
      <c r="A405" s="3">
        <v>1</v>
      </c>
      <c r="B405" s="2">
        <f t="shared" si="25"/>
        <v>14</v>
      </c>
      <c r="C405" s="3">
        <v>89</v>
      </c>
      <c r="D405" s="3" t="s">
        <v>86</v>
      </c>
      <c r="G405" s="3">
        <v>2000</v>
      </c>
      <c r="P405" s="3">
        <v>1100</v>
      </c>
      <c r="Q405">
        <v>5938</v>
      </c>
      <c r="S405" s="3" t="s">
        <v>118</v>
      </c>
      <c r="W405" s="2">
        <v>1000000</v>
      </c>
      <c r="X405" s="3" t="s">
        <v>60</v>
      </c>
      <c r="Y405" s="3" t="s">
        <v>19</v>
      </c>
      <c r="Z405" s="2">
        <f t="shared" si="23"/>
        <v>1</v>
      </c>
      <c r="AA405" s="2">
        <f t="shared" si="24"/>
        <v>1</v>
      </c>
      <c r="AB405" s="2">
        <v>321</v>
      </c>
    </row>
    <row r="406" spans="1:28" x14ac:dyDescent="0.75">
      <c r="A406" s="3">
        <v>1</v>
      </c>
      <c r="B406" s="2">
        <f t="shared" si="25"/>
        <v>14</v>
      </c>
      <c r="C406" s="3">
        <v>90</v>
      </c>
      <c r="D406" s="3" t="s">
        <v>86</v>
      </c>
      <c r="G406" s="3">
        <v>2000</v>
      </c>
      <c r="P406" s="3">
        <v>1100</v>
      </c>
      <c r="Q406" s="2">
        <v>5939</v>
      </c>
      <c r="S406" s="3" t="s">
        <v>118</v>
      </c>
      <c r="W406" s="2">
        <v>1000000</v>
      </c>
      <c r="X406" s="3" t="s">
        <v>60</v>
      </c>
      <c r="Y406" s="3" t="s">
        <v>19</v>
      </c>
      <c r="Z406" s="2">
        <f t="shared" si="23"/>
        <v>1</v>
      </c>
      <c r="AA406" s="2">
        <f t="shared" si="24"/>
        <v>1</v>
      </c>
      <c r="AB406" s="2">
        <v>322</v>
      </c>
    </row>
    <row r="407" spans="1:28" x14ac:dyDescent="0.75">
      <c r="A407" s="3">
        <v>1</v>
      </c>
      <c r="B407" s="2">
        <f t="shared" si="25"/>
        <v>14</v>
      </c>
      <c r="C407" s="3">
        <v>91</v>
      </c>
      <c r="D407" s="3" t="s">
        <v>86</v>
      </c>
      <c r="G407" s="3">
        <v>2000</v>
      </c>
      <c r="P407" s="3">
        <v>1100</v>
      </c>
      <c r="Q407">
        <v>5940</v>
      </c>
      <c r="S407" s="3" t="s">
        <v>118</v>
      </c>
      <c r="W407" s="2">
        <v>1000000</v>
      </c>
      <c r="X407" s="3" t="s">
        <v>60</v>
      </c>
      <c r="Y407" s="3" t="s">
        <v>19</v>
      </c>
      <c r="Z407" s="2">
        <f t="shared" si="23"/>
        <v>1</v>
      </c>
      <c r="AA407" s="2">
        <f t="shared" si="24"/>
        <v>1</v>
      </c>
      <c r="AB407" s="2">
        <v>323</v>
      </c>
    </row>
    <row r="408" spans="1:28" x14ac:dyDescent="0.75">
      <c r="A408" s="3">
        <v>1</v>
      </c>
      <c r="B408" s="2">
        <f t="shared" si="25"/>
        <v>14</v>
      </c>
      <c r="C408" s="3">
        <v>92</v>
      </c>
      <c r="D408" s="3" t="s">
        <v>86</v>
      </c>
      <c r="G408" s="3">
        <v>2000</v>
      </c>
      <c r="P408" s="3">
        <v>1100</v>
      </c>
      <c r="Q408">
        <v>5941</v>
      </c>
      <c r="S408" s="3" t="s">
        <v>118</v>
      </c>
      <c r="W408" s="2">
        <v>1000000</v>
      </c>
      <c r="X408" s="3" t="s">
        <v>60</v>
      </c>
      <c r="Y408" s="3" t="s">
        <v>19</v>
      </c>
      <c r="Z408" s="2">
        <f t="shared" si="23"/>
        <v>1</v>
      </c>
      <c r="AA408" s="2">
        <f t="shared" si="24"/>
        <v>1</v>
      </c>
      <c r="AB408" s="2">
        <v>324</v>
      </c>
    </row>
    <row r="409" spans="1:28" x14ac:dyDescent="0.75">
      <c r="A409" s="3">
        <v>1</v>
      </c>
      <c r="B409" s="2">
        <f t="shared" si="25"/>
        <v>14</v>
      </c>
      <c r="C409" s="3">
        <v>93</v>
      </c>
      <c r="D409" s="3" t="s">
        <v>86</v>
      </c>
      <c r="G409" s="3">
        <v>2000</v>
      </c>
      <c r="P409" s="3">
        <v>1100</v>
      </c>
      <c r="Q409" s="2">
        <v>5942</v>
      </c>
      <c r="S409" s="3" t="s">
        <v>118</v>
      </c>
      <c r="W409" s="2">
        <v>1000000</v>
      </c>
      <c r="X409" s="3" t="s">
        <v>60</v>
      </c>
      <c r="Y409" s="3" t="s">
        <v>19</v>
      </c>
      <c r="Z409" s="2">
        <f t="shared" si="23"/>
        <v>1</v>
      </c>
      <c r="AA409" s="2">
        <f t="shared" si="24"/>
        <v>1</v>
      </c>
      <c r="AB409" s="2">
        <v>325</v>
      </c>
    </row>
    <row r="410" spans="1:28" x14ac:dyDescent="0.75">
      <c r="A410" s="3">
        <v>1</v>
      </c>
      <c r="B410" s="2">
        <f t="shared" si="25"/>
        <v>14</v>
      </c>
      <c r="C410" s="3">
        <v>94</v>
      </c>
      <c r="D410" s="3" t="s">
        <v>86</v>
      </c>
      <c r="G410" s="3">
        <v>2000</v>
      </c>
      <c r="P410" s="3">
        <v>1100</v>
      </c>
      <c r="Q410">
        <v>5943</v>
      </c>
      <c r="S410" s="3" t="s">
        <v>118</v>
      </c>
      <c r="W410" s="2">
        <v>1000000</v>
      </c>
      <c r="X410" s="3" t="s">
        <v>60</v>
      </c>
      <c r="Y410" s="3" t="s">
        <v>19</v>
      </c>
      <c r="Z410" s="2">
        <f t="shared" si="23"/>
        <v>1</v>
      </c>
      <c r="AA410" s="2">
        <f t="shared" si="24"/>
        <v>1</v>
      </c>
      <c r="AB410" s="2">
        <v>326</v>
      </c>
    </row>
    <row r="411" spans="1:28" x14ac:dyDescent="0.75">
      <c r="A411" s="3">
        <v>1</v>
      </c>
      <c r="B411" s="2">
        <f t="shared" si="25"/>
        <v>14</v>
      </c>
      <c r="C411" s="3">
        <v>95</v>
      </c>
      <c r="D411" s="3" t="s">
        <v>86</v>
      </c>
      <c r="G411" s="3">
        <v>2000</v>
      </c>
      <c r="P411" s="3">
        <v>1100</v>
      </c>
      <c r="Q411" s="2">
        <v>5944</v>
      </c>
      <c r="S411" s="3" t="s">
        <v>118</v>
      </c>
      <c r="W411" s="2">
        <v>1000000</v>
      </c>
      <c r="X411" s="3" t="s">
        <v>60</v>
      </c>
      <c r="Y411" s="3" t="s">
        <v>19</v>
      </c>
      <c r="Z411" s="2">
        <f t="shared" si="23"/>
        <v>1</v>
      </c>
      <c r="AA411" s="2">
        <f t="shared" si="24"/>
        <v>1</v>
      </c>
      <c r="AB411" s="2">
        <v>327</v>
      </c>
    </row>
    <row r="412" spans="1:28" x14ac:dyDescent="0.75">
      <c r="A412" s="3">
        <v>1</v>
      </c>
      <c r="B412" s="2">
        <f t="shared" si="25"/>
        <v>14</v>
      </c>
      <c r="C412" s="3">
        <v>96</v>
      </c>
      <c r="D412" s="3" t="s">
        <v>86</v>
      </c>
      <c r="G412" s="3">
        <v>2000</v>
      </c>
      <c r="P412" s="3">
        <v>1100</v>
      </c>
      <c r="Q412">
        <v>5945</v>
      </c>
      <c r="S412" s="3" t="s">
        <v>118</v>
      </c>
      <c r="W412" s="2">
        <v>1000000</v>
      </c>
      <c r="X412" s="3" t="s">
        <v>60</v>
      </c>
      <c r="Y412" s="3" t="s">
        <v>19</v>
      </c>
      <c r="Z412" s="2">
        <f t="shared" si="23"/>
        <v>1</v>
      </c>
      <c r="AA412" s="2">
        <f t="shared" si="24"/>
        <v>1</v>
      </c>
      <c r="AB412" s="2">
        <v>328</v>
      </c>
    </row>
    <row r="413" spans="1:28" x14ac:dyDescent="0.75">
      <c r="A413" s="3">
        <v>1</v>
      </c>
      <c r="B413" s="2">
        <f t="shared" si="25"/>
        <v>14</v>
      </c>
      <c r="C413" s="3">
        <v>97</v>
      </c>
      <c r="D413" s="3" t="s">
        <v>86</v>
      </c>
      <c r="G413" s="3">
        <v>2000</v>
      </c>
      <c r="P413" s="3">
        <v>1100</v>
      </c>
      <c r="Q413" s="2">
        <v>5946</v>
      </c>
      <c r="S413" s="3" t="s">
        <v>118</v>
      </c>
      <c r="W413" s="2">
        <v>1000000</v>
      </c>
      <c r="X413" s="3" t="s">
        <v>60</v>
      </c>
      <c r="Y413" s="3" t="s">
        <v>19</v>
      </c>
      <c r="Z413" s="2">
        <f t="shared" si="23"/>
        <v>1</v>
      </c>
      <c r="AA413" s="2">
        <f t="shared" si="24"/>
        <v>1</v>
      </c>
      <c r="AB413" s="2">
        <v>329</v>
      </c>
    </row>
    <row r="414" spans="1:28" x14ac:dyDescent="0.75">
      <c r="A414" s="3">
        <v>1</v>
      </c>
      <c r="B414" s="2">
        <f t="shared" si="25"/>
        <v>14</v>
      </c>
      <c r="C414" s="3">
        <v>98</v>
      </c>
      <c r="D414" s="3" t="s">
        <v>86</v>
      </c>
      <c r="G414" s="3">
        <v>2000</v>
      </c>
      <c r="P414" s="3">
        <v>1100</v>
      </c>
      <c r="Q414">
        <v>5947</v>
      </c>
      <c r="S414" s="3" t="s">
        <v>118</v>
      </c>
      <c r="W414" s="2">
        <v>1000000</v>
      </c>
      <c r="X414" s="3" t="s">
        <v>60</v>
      </c>
      <c r="Y414" s="3" t="s">
        <v>19</v>
      </c>
      <c r="Z414" s="2">
        <f t="shared" si="23"/>
        <v>1</v>
      </c>
      <c r="AA414" s="2">
        <f t="shared" si="24"/>
        <v>1</v>
      </c>
      <c r="AB414" s="2">
        <v>330</v>
      </c>
    </row>
    <row r="415" spans="1:28" x14ac:dyDescent="0.75">
      <c r="A415" s="3">
        <v>1</v>
      </c>
      <c r="B415" s="2">
        <f t="shared" si="25"/>
        <v>14</v>
      </c>
      <c r="C415" s="3">
        <v>99</v>
      </c>
      <c r="D415" s="3" t="s">
        <v>86</v>
      </c>
      <c r="G415" s="3">
        <v>2000</v>
      </c>
      <c r="P415" s="3">
        <v>1100</v>
      </c>
      <c r="Q415" s="2">
        <v>5948</v>
      </c>
      <c r="S415" s="3" t="s">
        <v>118</v>
      </c>
      <c r="W415" s="2">
        <v>1000000</v>
      </c>
      <c r="X415" s="3" t="s">
        <v>60</v>
      </c>
      <c r="Y415" s="3" t="s">
        <v>19</v>
      </c>
      <c r="Z415" s="2">
        <f t="shared" si="23"/>
        <v>1</v>
      </c>
      <c r="AA415" s="2">
        <f t="shared" si="24"/>
        <v>1</v>
      </c>
      <c r="AB415" s="2">
        <v>331</v>
      </c>
    </row>
    <row r="416" spans="1:28" x14ac:dyDescent="0.75">
      <c r="A416" s="3">
        <v>1</v>
      </c>
      <c r="B416" s="2">
        <f t="shared" si="25"/>
        <v>14</v>
      </c>
      <c r="C416" s="3">
        <v>100</v>
      </c>
      <c r="D416" s="3" t="s">
        <v>86</v>
      </c>
      <c r="G416" s="3">
        <v>2000</v>
      </c>
      <c r="P416" s="3">
        <v>1100</v>
      </c>
      <c r="Q416">
        <v>5949</v>
      </c>
      <c r="S416" s="3" t="s">
        <v>118</v>
      </c>
      <c r="W416" s="2">
        <v>1000000</v>
      </c>
      <c r="X416" s="3" t="s">
        <v>60</v>
      </c>
      <c r="Y416" s="3" t="s">
        <v>19</v>
      </c>
      <c r="Z416" s="2">
        <f t="shared" si="23"/>
        <v>1</v>
      </c>
      <c r="AA416" s="2">
        <f t="shared" si="24"/>
        <v>1</v>
      </c>
      <c r="AB416" s="2">
        <v>332</v>
      </c>
    </row>
    <row r="417" spans="1:28" x14ac:dyDescent="0.75">
      <c r="A417" s="3">
        <v>1</v>
      </c>
      <c r="B417" s="2">
        <f t="shared" ref="B417:B418" si="26">IF(C417=1,B416+1,B416)</f>
        <v>15</v>
      </c>
      <c r="C417" s="3">
        <v>1</v>
      </c>
      <c r="D417" s="3" t="s">
        <v>86</v>
      </c>
      <c r="G417" s="3">
        <v>2000</v>
      </c>
      <c r="P417" s="3">
        <v>1100</v>
      </c>
      <c r="Q417" s="2">
        <v>5000</v>
      </c>
      <c r="S417" s="3" t="s">
        <v>118</v>
      </c>
      <c r="T417" s="2">
        <v>1000000</v>
      </c>
      <c r="X417" s="3" t="s">
        <v>60</v>
      </c>
      <c r="Y417" s="3" t="s">
        <v>19</v>
      </c>
      <c r="Z417" s="2">
        <f t="shared" si="23"/>
        <v>1</v>
      </c>
      <c r="AA417" s="2">
        <f t="shared" si="24"/>
        <v>1</v>
      </c>
      <c r="AB417" s="2">
        <v>333</v>
      </c>
    </row>
    <row r="418" spans="1:28" x14ac:dyDescent="0.75">
      <c r="A418" s="3">
        <v>1</v>
      </c>
      <c r="B418" s="2">
        <f t="shared" si="26"/>
        <v>15</v>
      </c>
      <c r="C418" s="3">
        <v>2</v>
      </c>
      <c r="D418" s="3" t="s">
        <v>86</v>
      </c>
      <c r="G418" s="3">
        <v>2000</v>
      </c>
      <c r="P418" s="3">
        <v>1100</v>
      </c>
      <c r="Q418">
        <v>5850</v>
      </c>
      <c r="S418" s="3" t="s">
        <v>118</v>
      </c>
      <c r="T418" s="2">
        <v>1000000</v>
      </c>
      <c r="X418" s="3" t="s">
        <v>60</v>
      </c>
      <c r="Y418" s="3" t="s">
        <v>21</v>
      </c>
      <c r="Z418" s="2">
        <f t="shared" si="23"/>
        <v>1</v>
      </c>
      <c r="AA418" s="2">
        <f t="shared" si="24"/>
        <v>0</v>
      </c>
      <c r="AB418" s="2" t="s">
        <v>135</v>
      </c>
    </row>
    <row r="419" spans="1:28" x14ac:dyDescent="0.75">
      <c r="A419" s="3">
        <v>1</v>
      </c>
      <c r="B419" s="2">
        <f t="shared" ref="B419:B434" si="27">IF(C419=1,B418+1,B418)</f>
        <v>16</v>
      </c>
      <c r="C419" s="3">
        <v>1</v>
      </c>
      <c r="D419" s="3" t="s">
        <v>86</v>
      </c>
      <c r="G419" s="3">
        <v>2000</v>
      </c>
      <c r="P419" s="3">
        <v>1100</v>
      </c>
      <c r="Q419" s="2">
        <v>5000</v>
      </c>
      <c r="S419" s="3" t="s">
        <v>118</v>
      </c>
      <c r="U419" s="2">
        <v>1000000</v>
      </c>
      <c r="X419" s="3" t="s">
        <v>60</v>
      </c>
      <c r="Y419" s="3" t="s">
        <v>19</v>
      </c>
      <c r="Z419" s="2">
        <f t="shared" si="23"/>
        <v>1</v>
      </c>
      <c r="AA419" s="2">
        <f t="shared" si="24"/>
        <v>1</v>
      </c>
      <c r="AB419" s="2">
        <v>334</v>
      </c>
    </row>
    <row r="420" spans="1:28" x14ac:dyDescent="0.75">
      <c r="A420" s="3">
        <v>1</v>
      </c>
      <c r="B420" s="2">
        <f t="shared" si="27"/>
        <v>16</v>
      </c>
      <c r="C420" s="3">
        <v>2</v>
      </c>
      <c r="D420" s="3" t="s">
        <v>86</v>
      </c>
      <c r="G420" s="3">
        <v>2000</v>
      </c>
      <c r="P420" s="3">
        <v>1100</v>
      </c>
      <c r="Q420">
        <v>5850</v>
      </c>
      <c r="S420" s="3" t="s">
        <v>118</v>
      </c>
      <c r="U420" s="2">
        <v>1000000</v>
      </c>
      <c r="X420" s="3" t="s">
        <v>60</v>
      </c>
      <c r="Y420" s="3" t="s">
        <v>21</v>
      </c>
      <c r="Z420" s="2">
        <f t="shared" si="23"/>
        <v>1</v>
      </c>
      <c r="AA420" s="2">
        <f t="shared" si="24"/>
        <v>0</v>
      </c>
      <c r="AB420" s="2" t="s">
        <v>135</v>
      </c>
    </row>
    <row r="421" spans="1:28" x14ac:dyDescent="0.75">
      <c r="A421" s="3">
        <v>1</v>
      </c>
      <c r="B421" s="2">
        <f t="shared" si="27"/>
        <v>17</v>
      </c>
      <c r="C421" s="3">
        <v>1</v>
      </c>
      <c r="D421" s="3" t="s">
        <v>86</v>
      </c>
      <c r="G421" s="3">
        <v>2000</v>
      </c>
      <c r="P421" s="3">
        <v>1100</v>
      </c>
      <c r="Q421" s="2">
        <v>5000</v>
      </c>
      <c r="S421" s="3" t="s">
        <v>118</v>
      </c>
      <c r="V421" s="2">
        <v>1000000</v>
      </c>
      <c r="X421" s="3" t="s">
        <v>60</v>
      </c>
      <c r="Y421" s="3" t="s">
        <v>19</v>
      </c>
      <c r="Z421" s="2">
        <f t="shared" si="23"/>
        <v>1</v>
      </c>
      <c r="AA421" s="2">
        <f t="shared" si="24"/>
        <v>1</v>
      </c>
      <c r="AB421" s="2">
        <v>335</v>
      </c>
    </row>
    <row r="422" spans="1:28" x14ac:dyDescent="0.75">
      <c r="A422" s="3">
        <v>1</v>
      </c>
      <c r="B422" s="2">
        <f t="shared" si="27"/>
        <v>17</v>
      </c>
      <c r="C422" s="3">
        <v>2</v>
      </c>
      <c r="D422" s="3" t="s">
        <v>86</v>
      </c>
      <c r="G422" s="3">
        <v>2000</v>
      </c>
      <c r="P422" s="3">
        <v>1100</v>
      </c>
      <c r="Q422">
        <v>5850</v>
      </c>
      <c r="S422" s="3" t="s">
        <v>118</v>
      </c>
      <c r="V422" s="2">
        <v>1000000</v>
      </c>
      <c r="X422" s="3" t="s">
        <v>60</v>
      </c>
      <c r="Y422" s="3" t="s">
        <v>21</v>
      </c>
      <c r="Z422" s="2">
        <f t="shared" si="23"/>
        <v>1</v>
      </c>
      <c r="AA422" s="2">
        <f t="shared" si="24"/>
        <v>0</v>
      </c>
      <c r="AB422" s="2" t="s">
        <v>135</v>
      </c>
    </row>
    <row r="423" spans="1:28" x14ac:dyDescent="0.75">
      <c r="A423" s="3">
        <v>1</v>
      </c>
      <c r="B423" s="2">
        <f t="shared" si="27"/>
        <v>18</v>
      </c>
      <c r="C423" s="3">
        <v>1</v>
      </c>
      <c r="D423" s="3" t="s">
        <v>86</v>
      </c>
      <c r="G423" s="3">
        <v>2000</v>
      </c>
      <c r="P423" s="3">
        <v>1100</v>
      </c>
      <c r="Q423" s="2">
        <v>5000</v>
      </c>
      <c r="S423" s="3" t="s">
        <v>118</v>
      </c>
      <c r="W423" s="2">
        <v>1000000</v>
      </c>
      <c r="X423" s="3" t="s">
        <v>60</v>
      </c>
      <c r="Y423" s="3" t="s">
        <v>21</v>
      </c>
      <c r="Z423" s="2">
        <f t="shared" si="23"/>
        <v>1</v>
      </c>
      <c r="AA423" s="2">
        <f t="shared" si="24"/>
        <v>0</v>
      </c>
      <c r="AB423" s="2" t="s">
        <v>135</v>
      </c>
    </row>
    <row r="424" spans="1:28" x14ac:dyDescent="0.75">
      <c r="A424" s="2">
        <v>1</v>
      </c>
      <c r="B424" s="2">
        <f t="shared" si="27"/>
        <v>19</v>
      </c>
      <c r="C424" s="2">
        <v>1</v>
      </c>
      <c r="D424" s="2" t="s">
        <v>86</v>
      </c>
      <c r="G424" s="2">
        <v>2000</v>
      </c>
      <c r="P424" s="2">
        <v>1100</v>
      </c>
      <c r="S424" s="2" t="s">
        <v>118</v>
      </c>
      <c r="T424" s="2">
        <v>1000000</v>
      </c>
      <c r="X424" s="2" t="s">
        <v>60</v>
      </c>
      <c r="Y424" s="2" t="s">
        <v>19</v>
      </c>
      <c r="Z424" s="2">
        <f t="shared" ref="Z424:Z434" si="28">IF(T424&gt;0,1,0)+IF(U424&gt;0,1,0)+IF(V424&gt;0,1,0)+IF(W424&gt;0,1,0)</f>
        <v>1</v>
      </c>
      <c r="AA424" s="2">
        <f t="shared" ref="AA424:AA434" si="29">IF(Y424="OK",Z424,0)</f>
        <v>1</v>
      </c>
      <c r="AB424" s="2">
        <v>336</v>
      </c>
    </row>
    <row r="425" spans="1:28" x14ac:dyDescent="0.75">
      <c r="A425" s="2">
        <v>1</v>
      </c>
      <c r="B425" s="2">
        <f t="shared" si="27"/>
        <v>19</v>
      </c>
      <c r="C425" s="2">
        <v>2</v>
      </c>
      <c r="D425" s="2" t="s">
        <v>86</v>
      </c>
      <c r="G425" s="2">
        <v>2000</v>
      </c>
      <c r="P425" s="2">
        <v>1100</v>
      </c>
      <c r="S425" s="2" t="s">
        <v>118</v>
      </c>
      <c r="U425" s="2">
        <v>1000000</v>
      </c>
      <c r="X425" s="2" t="s">
        <v>60</v>
      </c>
      <c r="Y425" s="2" t="s">
        <v>19</v>
      </c>
      <c r="Z425" s="2">
        <f t="shared" si="28"/>
        <v>1</v>
      </c>
      <c r="AA425" s="2">
        <f t="shared" si="29"/>
        <v>1</v>
      </c>
      <c r="AB425" s="2">
        <v>337</v>
      </c>
    </row>
    <row r="426" spans="1:28" x14ac:dyDescent="0.75">
      <c r="A426" s="2">
        <v>1</v>
      </c>
      <c r="B426" s="2">
        <f t="shared" si="27"/>
        <v>19</v>
      </c>
      <c r="C426" s="2">
        <v>3</v>
      </c>
      <c r="D426" s="2" t="s">
        <v>86</v>
      </c>
      <c r="G426" s="2">
        <v>2000</v>
      </c>
      <c r="P426" s="2">
        <v>1100</v>
      </c>
      <c r="S426" s="2" t="s">
        <v>118</v>
      </c>
      <c r="V426" s="2">
        <v>1000000</v>
      </c>
      <c r="X426" s="2" t="s">
        <v>60</v>
      </c>
      <c r="Y426" s="2" t="s">
        <v>19</v>
      </c>
      <c r="Z426" s="2">
        <f t="shared" si="28"/>
        <v>1</v>
      </c>
      <c r="AA426" s="2">
        <f t="shared" si="29"/>
        <v>1</v>
      </c>
      <c r="AB426" s="2">
        <v>338</v>
      </c>
    </row>
    <row r="427" spans="1:28" x14ac:dyDescent="0.75">
      <c r="A427" s="2">
        <v>1</v>
      </c>
      <c r="B427" s="2">
        <f t="shared" si="27"/>
        <v>19</v>
      </c>
      <c r="C427" s="2">
        <v>4</v>
      </c>
      <c r="D427" s="2" t="s">
        <v>86</v>
      </c>
      <c r="G427" s="2">
        <v>2000</v>
      </c>
      <c r="P427" s="2">
        <v>1100</v>
      </c>
      <c r="S427" s="2" t="s">
        <v>118</v>
      </c>
      <c r="T427" s="2">
        <v>1000000</v>
      </c>
      <c r="U427" s="2">
        <v>1000000</v>
      </c>
      <c r="X427" s="2" t="s">
        <v>60</v>
      </c>
      <c r="Y427" s="2" t="s">
        <v>19</v>
      </c>
      <c r="Z427" s="2">
        <f t="shared" si="28"/>
        <v>2</v>
      </c>
      <c r="AA427" s="2">
        <f t="shared" si="29"/>
        <v>2</v>
      </c>
      <c r="AB427" s="2">
        <v>339</v>
      </c>
    </row>
    <row r="428" spans="1:28" x14ac:dyDescent="0.75">
      <c r="A428" s="2">
        <v>1</v>
      </c>
      <c r="B428" s="2">
        <f t="shared" si="27"/>
        <v>19</v>
      </c>
      <c r="C428" s="2">
        <v>5</v>
      </c>
      <c r="D428" s="2" t="s">
        <v>86</v>
      </c>
      <c r="G428" s="2">
        <v>2000</v>
      </c>
      <c r="P428" s="2">
        <v>1100</v>
      </c>
      <c r="S428" s="2" t="s">
        <v>118</v>
      </c>
      <c r="T428" s="2">
        <v>1000000</v>
      </c>
      <c r="V428" s="2">
        <v>1000000</v>
      </c>
      <c r="X428" s="2" t="s">
        <v>60</v>
      </c>
      <c r="Y428" s="2" t="s">
        <v>19</v>
      </c>
      <c r="Z428" s="2">
        <f t="shared" si="28"/>
        <v>2</v>
      </c>
      <c r="AA428" s="2">
        <f t="shared" si="29"/>
        <v>2</v>
      </c>
      <c r="AB428" s="2">
        <v>341</v>
      </c>
    </row>
    <row r="429" spans="1:28" x14ac:dyDescent="0.75">
      <c r="A429" s="2">
        <v>1</v>
      </c>
      <c r="B429" s="2">
        <f t="shared" si="27"/>
        <v>19</v>
      </c>
      <c r="C429" s="2">
        <v>6</v>
      </c>
      <c r="D429" s="2" t="s">
        <v>86</v>
      </c>
      <c r="G429" s="2">
        <v>2000</v>
      </c>
      <c r="P429" s="2">
        <v>1100</v>
      </c>
      <c r="S429" s="2" t="s">
        <v>118</v>
      </c>
      <c r="U429" s="2">
        <v>1000000</v>
      </c>
      <c r="V429" s="2">
        <v>1000000</v>
      </c>
      <c r="X429" s="2" t="s">
        <v>60</v>
      </c>
      <c r="Y429" s="2" t="s">
        <v>19</v>
      </c>
      <c r="Z429" s="2">
        <f t="shared" si="28"/>
        <v>2</v>
      </c>
      <c r="AA429" s="2">
        <f t="shared" si="29"/>
        <v>2</v>
      </c>
      <c r="AB429" s="2">
        <v>343</v>
      </c>
    </row>
    <row r="430" spans="1:28" x14ac:dyDescent="0.75">
      <c r="A430" s="2">
        <v>1</v>
      </c>
      <c r="B430" s="2">
        <f t="shared" si="27"/>
        <v>19</v>
      </c>
      <c r="C430" s="2">
        <v>7</v>
      </c>
      <c r="D430" s="2" t="s">
        <v>86</v>
      </c>
      <c r="G430" s="2">
        <v>2000</v>
      </c>
      <c r="P430" s="2">
        <v>1100</v>
      </c>
      <c r="S430" s="2" t="s">
        <v>118</v>
      </c>
      <c r="T430" s="2">
        <v>1000000</v>
      </c>
      <c r="U430" s="2">
        <v>1000000</v>
      </c>
      <c r="V430" s="2">
        <v>1000000</v>
      </c>
      <c r="X430" s="2" t="s">
        <v>60</v>
      </c>
      <c r="Y430" s="2" t="s">
        <v>19</v>
      </c>
      <c r="Z430" s="2">
        <f t="shared" si="28"/>
        <v>3</v>
      </c>
      <c r="AA430" s="2">
        <f t="shared" si="29"/>
        <v>3</v>
      </c>
      <c r="AB430" s="2">
        <v>345</v>
      </c>
    </row>
    <row r="431" spans="1:28" x14ac:dyDescent="0.75">
      <c r="A431" s="2">
        <v>1</v>
      </c>
      <c r="B431" s="2">
        <f t="shared" si="27"/>
        <v>20</v>
      </c>
      <c r="C431" s="2">
        <v>1</v>
      </c>
      <c r="D431" s="2" t="s">
        <v>86</v>
      </c>
      <c r="G431" s="2">
        <v>2000</v>
      </c>
      <c r="P431" s="2">
        <v>1100</v>
      </c>
      <c r="S431" s="2" t="s">
        <v>118</v>
      </c>
      <c r="T431" s="2">
        <v>1000000</v>
      </c>
      <c r="X431" s="2" t="s">
        <v>60</v>
      </c>
      <c r="Y431" s="2" t="s">
        <v>19</v>
      </c>
      <c r="Z431" s="2">
        <f t="shared" si="28"/>
        <v>1</v>
      </c>
      <c r="AA431" s="2">
        <f t="shared" si="29"/>
        <v>1</v>
      </c>
      <c r="AB431" s="2">
        <v>348</v>
      </c>
    </row>
    <row r="432" spans="1:28" x14ac:dyDescent="0.75">
      <c r="A432" s="2">
        <v>1</v>
      </c>
      <c r="B432" s="2">
        <f t="shared" si="27"/>
        <v>20</v>
      </c>
      <c r="C432" s="2">
        <v>2</v>
      </c>
      <c r="D432" s="2" t="s">
        <v>86</v>
      </c>
      <c r="G432" s="2">
        <v>2000</v>
      </c>
      <c r="P432" s="2">
        <v>1100</v>
      </c>
      <c r="S432" s="2" t="s">
        <v>118</v>
      </c>
      <c r="U432" s="2">
        <v>1000000</v>
      </c>
      <c r="X432" s="2" t="s">
        <v>60</v>
      </c>
      <c r="Y432" s="2" t="s">
        <v>19</v>
      </c>
      <c r="Z432" s="2">
        <f t="shared" si="28"/>
        <v>1</v>
      </c>
      <c r="AA432" s="2">
        <f t="shared" si="29"/>
        <v>1</v>
      </c>
      <c r="AB432" s="2">
        <v>349</v>
      </c>
    </row>
    <row r="433" spans="1:28" x14ac:dyDescent="0.75">
      <c r="A433" s="2">
        <v>1</v>
      </c>
      <c r="B433" s="2">
        <f t="shared" si="27"/>
        <v>20</v>
      </c>
      <c r="C433" s="2">
        <v>3</v>
      </c>
      <c r="D433" s="2" t="s">
        <v>86</v>
      </c>
      <c r="G433" s="2">
        <v>2000</v>
      </c>
      <c r="P433" s="2">
        <v>1100</v>
      </c>
      <c r="S433" s="2" t="s">
        <v>118</v>
      </c>
      <c r="V433" s="2">
        <v>1000000</v>
      </c>
      <c r="X433" s="2" t="s">
        <v>60</v>
      </c>
      <c r="Y433" s="2" t="s">
        <v>19</v>
      </c>
      <c r="Z433" s="2">
        <f t="shared" si="28"/>
        <v>1</v>
      </c>
      <c r="AA433" s="2">
        <f t="shared" si="29"/>
        <v>1</v>
      </c>
      <c r="AB433" s="2">
        <v>350</v>
      </c>
    </row>
    <row r="434" spans="1:28" x14ac:dyDescent="0.75">
      <c r="A434" s="2">
        <v>1</v>
      </c>
      <c r="B434" s="2">
        <f t="shared" si="27"/>
        <v>20</v>
      </c>
      <c r="C434" s="2">
        <v>4</v>
      </c>
      <c r="D434" s="2" t="s">
        <v>86</v>
      </c>
      <c r="G434" s="2">
        <v>2000</v>
      </c>
      <c r="P434" s="2">
        <v>1100</v>
      </c>
      <c r="S434" s="2" t="s">
        <v>118</v>
      </c>
      <c r="W434" s="2">
        <v>1000000</v>
      </c>
      <c r="X434" s="2" t="s">
        <v>60</v>
      </c>
      <c r="Y434" s="2" t="s">
        <v>21</v>
      </c>
      <c r="Z434" s="2">
        <f t="shared" si="28"/>
        <v>1</v>
      </c>
      <c r="AA434" s="2">
        <f t="shared" si="29"/>
        <v>0</v>
      </c>
      <c r="AB434" s="2" t="s">
        <v>135</v>
      </c>
    </row>
  </sheetData>
  <autoFilter ref="A1:AA434" xr:uid="{F35D0477-75F6-4DAB-9015-83899DF72FCF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Tests Plan</vt:lpstr>
      <vt:lpstr>account_small</vt:lpstr>
      <vt:lpstr>location_small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Tahiry Rabehaja</dc:creator>
  <cp:lastModifiedBy>Tahiry Rabehaja</cp:lastModifiedBy>
  <dcterms:created xsi:type="dcterms:W3CDTF">2020-05-06T03:00:56Z</dcterms:created>
  <dcterms:modified xsi:type="dcterms:W3CDTF">2020-05-08T06:30:33Z</dcterms:modified>
</cp:coreProperties>
</file>